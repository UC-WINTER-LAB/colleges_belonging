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https://ucliveac-my.sharepoint.com/personal/taylor_winter_canterbury_ac_nz/Documents/Projects/Colleges - Belonging/colleges_belonging/"/>
    </mc:Choice>
  </mc:AlternateContent>
  <xr:revisionPtr revIDLastSave="186" documentId="11_F25DC773A252ABDACC10487339994B0E5ADE58E5" xr6:coauthVersionLast="47" xr6:coauthVersionMax="47" xr10:uidLastSave="{9F5AAA98-E96A-465A-8181-1493E1929E35}"/>
  <bookViews>
    <workbookView xWindow="-120" yWindow="-120" windowWidth="29040" windowHeight="15720" xr2:uid="{00000000-000D-0000-FFFF-FFFF00000000}"/>
  </bookViews>
  <sheets>
    <sheet name="direct_effect" sheetId="1" r:id="rId1"/>
    <sheet name="mediation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1" l="1"/>
  <c r="F7" i="1"/>
  <c r="F5" i="1"/>
  <c r="E5" i="1"/>
  <c r="G14" i="2"/>
  <c r="G13" i="2"/>
  <c r="G5" i="2"/>
  <c r="G6" i="2"/>
  <c r="G7" i="2"/>
  <c r="G8" i="2"/>
  <c r="G9" i="2"/>
  <c r="G10" i="2"/>
  <c r="G11" i="2"/>
  <c r="G4" i="2"/>
  <c r="D14" i="2"/>
  <c r="E14" i="2"/>
  <c r="F14" i="2"/>
  <c r="E13" i="2"/>
  <c r="F13" i="2"/>
  <c r="D13" i="2"/>
  <c r="D8" i="2"/>
  <c r="E8" i="2"/>
  <c r="F8" i="2"/>
  <c r="D9" i="2"/>
  <c r="E9" i="2"/>
  <c r="F9" i="2"/>
  <c r="D10" i="2"/>
  <c r="E10" i="2"/>
  <c r="F10" i="2"/>
  <c r="D11" i="2"/>
  <c r="E11" i="2"/>
  <c r="F11" i="2"/>
  <c r="E4" i="2"/>
  <c r="F4" i="2"/>
  <c r="E5" i="2"/>
  <c r="F5" i="2"/>
  <c r="E6" i="2"/>
  <c r="F6" i="2"/>
  <c r="E7" i="2"/>
  <c r="F7" i="2"/>
  <c r="D5" i="2"/>
  <c r="D6" i="2"/>
  <c r="D7" i="2"/>
  <c r="D4" i="2"/>
  <c r="C6" i="1"/>
  <c r="D6" i="1"/>
  <c r="E6" i="1"/>
  <c r="C7" i="1"/>
  <c r="D7" i="1"/>
  <c r="E7" i="1"/>
  <c r="D5" i="1"/>
  <c r="C5" i="1"/>
</calcChain>
</file>

<file path=xl/sharedStrings.xml><?xml version="1.0" encoding="utf-8"?>
<sst xmlns="http://schemas.openxmlformats.org/spreadsheetml/2006/main" count="119" uniqueCount="61">
  <si>
    <t xml:space="preserve">                     Est.   S.E.   t val.      p</t>
  </si>
  <si>
    <t>----------------- ------- ------ -------- ------</t>
  </si>
  <si>
    <t>(Intercept)</t>
  </si>
  <si>
    <t>exits</t>
  </si>
  <si>
    <t>gendermale</t>
  </si>
  <si>
    <t>Intercept</t>
  </si>
  <si>
    <t>Pre-existing identity</t>
  </si>
  <si>
    <t>Sex (Male)</t>
  </si>
  <si>
    <t>t</t>
  </si>
  <si>
    <t>p</t>
  </si>
  <si>
    <t>b</t>
  </si>
  <si>
    <t>SE</t>
  </si>
  <si>
    <r>
      <rPr>
        <b/>
        <sz val="11"/>
        <color theme="1"/>
        <rFont val="Calibri"/>
        <family val="2"/>
        <scheme val="minor"/>
      </rPr>
      <t>Table X.</t>
    </r>
    <r>
      <rPr>
        <sz val="11"/>
        <color theme="1"/>
        <rFont val="Calibri"/>
        <family val="2"/>
        <scheme val="minor"/>
      </rPr>
      <t xml:space="preserve"> Wellbeing after one year of university predicted by social identity before starting university and gender.</t>
    </r>
  </si>
  <si>
    <t>N = 339</t>
  </si>
  <si>
    <t>wmws</t>
  </si>
  <si>
    <t>~</t>
  </si>
  <si>
    <t>continuity</t>
  </si>
  <si>
    <t>b1</t>
  </si>
  <si>
    <t>gain</t>
  </si>
  <si>
    <t>b2</t>
  </si>
  <si>
    <t>c</t>
  </si>
  <si>
    <t>gender</t>
  </si>
  <si>
    <t>a1</t>
  </si>
  <si>
    <t>a2</t>
  </si>
  <si>
    <t>~~</t>
  </si>
  <si>
    <t>NA</t>
  </si>
  <si>
    <t>m1</t>
  </si>
  <si>
    <t>:=</t>
  </si>
  <si>
    <t>a1*b1</t>
  </si>
  <si>
    <t>m2</t>
  </si>
  <si>
    <t>a2*b2</t>
  </si>
  <si>
    <t>total</t>
  </si>
  <si>
    <t>(a1*b1)+(a2*b2)+c</t>
  </si>
  <si>
    <t>m1_prop</t>
  </si>
  <si>
    <t>m1/total</t>
  </si>
  <si>
    <t>m2_prop</t>
  </si>
  <si>
    <t>m2/total</t>
  </si>
  <si>
    <t>lhs</t>
  </si>
  <si>
    <t>op</t>
  </si>
  <si>
    <t>rhs</t>
  </si>
  <si>
    <t>label</t>
  </si>
  <si>
    <t>exo</t>
  </si>
  <si>
    <t>est</t>
  </si>
  <si>
    <t>se</t>
  </si>
  <si>
    <t>z</t>
  </si>
  <si>
    <t>pvalue</t>
  </si>
  <si>
    <t>Outcome</t>
  </si>
  <si>
    <t>Wellbeing</t>
  </si>
  <si>
    <t>Identity continuity</t>
  </si>
  <si>
    <t>Identity gain</t>
  </si>
  <si>
    <t>Effect</t>
  </si>
  <si>
    <t>Identity continuity (b1)</t>
  </si>
  <si>
    <t>Pre-university identity (a1)</t>
  </si>
  <si>
    <t>Identity gain (b2)</t>
  </si>
  <si>
    <t>Pre-university identity (a2)</t>
  </si>
  <si>
    <t>Pre-university identity (c′)</t>
  </si>
  <si>
    <t>Mediation (continuity)</t>
  </si>
  <si>
    <t>Mediation (gain)</t>
  </si>
  <si>
    <t>Gender</t>
  </si>
  <si>
    <t>N = 308</t>
  </si>
  <si>
    <r>
      <rPr>
        <b/>
        <sz val="11"/>
        <color theme="1"/>
        <rFont val="Calibri"/>
        <family val="2"/>
        <scheme val="minor"/>
      </rPr>
      <t xml:space="preserve">Table X. </t>
    </r>
    <r>
      <rPr>
        <sz val="11"/>
        <color theme="1"/>
        <rFont val="Calibri"/>
        <family val="2"/>
        <scheme val="minor"/>
      </rPr>
      <t>Regression coefficients and indirect effects of EXITS measures on wellbeing while controlling for gender.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</si>
</sst>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7" formatCode="0.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Lucida Console"/>
      <family val="3"/>
    </font>
    <font>
      <i/>
      <sz val="11"/>
      <color theme="1"/>
      <name val="Calibri"/>
      <family val="2"/>
      <scheme val="minor"/>
    </font>
    <font>
      <i/>
      <sz val="11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0" borderId="0" xfId="0" applyFont="1"/>
    <xf numFmtId="0" fontId="0" fillId="0" borderId="1" xfId="0" applyBorder="1"/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3" xfId="0" applyBorder="1"/>
    <xf numFmtId="0" fontId="0" fillId="0" borderId="3" xfId="0" applyBorder="1" applyAlignment="1">
      <alignment horizontal="center"/>
    </xf>
    <xf numFmtId="11" fontId="0" fillId="0" borderId="0" xfId="0" applyNumberFormat="1"/>
    <xf numFmtId="2" fontId="0" fillId="0" borderId="2" xfId="0" applyNumberForma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177" fontId="0" fillId="0" borderId="0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0" fontId="3" fillId="0" borderId="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O8"/>
  <sheetViews>
    <sheetView tabSelected="1" workbookViewId="0">
      <selection activeCell="M25" sqref="M25"/>
    </sheetView>
  </sheetViews>
  <sheetFormatPr defaultRowHeight="15" x14ac:dyDescent="0.25"/>
  <cols>
    <col min="2" max="2" width="19.28515625" customWidth="1"/>
  </cols>
  <sheetData>
    <row r="3" spans="2:15" x14ac:dyDescent="0.25">
      <c r="B3" t="s">
        <v>12</v>
      </c>
      <c r="K3" s="1" t="s">
        <v>0</v>
      </c>
    </row>
    <row r="4" spans="2:15" x14ac:dyDescent="0.25">
      <c r="B4" s="4"/>
      <c r="C4" s="5" t="s">
        <v>10</v>
      </c>
      <c r="D4" s="6" t="s">
        <v>11</v>
      </c>
      <c r="E4" s="7" t="s">
        <v>8</v>
      </c>
      <c r="F4" s="7" t="s">
        <v>9</v>
      </c>
      <c r="K4" s="1" t="s">
        <v>1</v>
      </c>
    </row>
    <row r="5" spans="2:15" x14ac:dyDescent="0.25">
      <c r="B5" s="8" t="s">
        <v>5</v>
      </c>
      <c r="C5" s="8">
        <f>L5</f>
        <v>-0.18</v>
      </c>
      <c r="D5" s="8">
        <f t="shared" ref="D5:F5" si="0">M5</f>
        <v>0.05</v>
      </c>
      <c r="E5" s="8">
        <f t="shared" si="0"/>
        <v>-3.27</v>
      </c>
      <c r="F5" s="9">
        <f>IF(O5&lt;0.001,"&lt; 0.001",ROUND(O5,3))</f>
        <v>1E-3</v>
      </c>
      <c r="K5" s="1" t="s">
        <v>2</v>
      </c>
      <c r="L5">
        <v>-0.18</v>
      </c>
      <c r="M5">
        <v>0.05</v>
      </c>
      <c r="N5">
        <v>-3.27</v>
      </c>
      <c r="O5">
        <v>1.1999999999999999E-3</v>
      </c>
    </row>
    <row r="6" spans="2:15" x14ac:dyDescent="0.25">
      <c r="B6" s="10" t="s">
        <v>7</v>
      </c>
      <c r="C6" s="10">
        <f t="shared" ref="C6:C7" si="1">L6</f>
        <v>0.16</v>
      </c>
      <c r="D6" s="10">
        <f t="shared" ref="D6:D7" si="2">M6</f>
        <v>0.03</v>
      </c>
      <c r="E6" s="10">
        <f t="shared" ref="E6:E7" si="3">N6</f>
        <v>4.99</v>
      </c>
      <c r="F6" s="11" t="str">
        <f t="shared" ref="F6:F7" si="4">IF(O6&lt;0.001,"&lt; 0.001",ROUND(O6,3))</f>
        <v>&lt; 0.001</v>
      </c>
      <c r="K6" s="1" t="s">
        <v>3</v>
      </c>
      <c r="L6">
        <v>0.16</v>
      </c>
      <c r="M6">
        <v>0.03</v>
      </c>
      <c r="N6">
        <v>4.99</v>
      </c>
      <c r="O6">
        <v>0</v>
      </c>
    </row>
    <row r="7" spans="2:15" x14ac:dyDescent="0.25">
      <c r="B7" s="12" t="s">
        <v>6</v>
      </c>
      <c r="C7" s="12">
        <f t="shared" si="1"/>
        <v>0.21</v>
      </c>
      <c r="D7" s="12">
        <f t="shared" si="2"/>
        <v>0.09</v>
      </c>
      <c r="E7" s="12">
        <f t="shared" si="3"/>
        <v>2.27</v>
      </c>
      <c r="F7" s="13">
        <f t="shared" si="4"/>
        <v>2.4E-2</v>
      </c>
      <c r="K7" s="2" t="s">
        <v>4</v>
      </c>
      <c r="L7">
        <v>0.21</v>
      </c>
      <c r="M7">
        <v>0.09</v>
      </c>
      <c r="N7">
        <v>2.27</v>
      </c>
      <c r="O7">
        <v>2.3800000000000002E-2</v>
      </c>
    </row>
    <row r="8" spans="2:15" x14ac:dyDescent="0.25">
      <c r="B8" s="3" t="s">
        <v>13</v>
      </c>
    </row>
  </sheetData>
  <pageMargins left="0.7" right="0.7" top="0.75" bottom="0.75" header="0.3" footer="0.3"/>
  <headerFooter>
    <oddFooter>&amp;C_x000D_&amp;1#&amp;"Calibri"&amp;7&amp;K000000 In-Confidence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CD16B-DAC7-4757-8EE0-599CBD042FE0}">
  <dimension ref="B2:V22"/>
  <sheetViews>
    <sheetView workbookViewId="0">
      <selection activeCell="H9" sqref="H9"/>
    </sheetView>
  </sheetViews>
  <sheetFormatPr defaultRowHeight="15" x14ac:dyDescent="0.25"/>
  <cols>
    <col min="2" max="2" width="24.5703125" customWidth="1"/>
    <col min="3" max="3" width="25.42578125" customWidth="1"/>
    <col min="4" max="7" width="8.7109375" customWidth="1"/>
  </cols>
  <sheetData>
    <row r="2" spans="2:22" x14ac:dyDescent="0.25">
      <c r="B2" t="s">
        <v>60</v>
      </c>
    </row>
    <row r="3" spans="2:22" x14ac:dyDescent="0.25">
      <c r="B3" s="6" t="s">
        <v>46</v>
      </c>
      <c r="C3" s="6" t="s">
        <v>50</v>
      </c>
      <c r="D3" s="7" t="s">
        <v>10</v>
      </c>
      <c r="E3" s="6" t="s">
        <v>11</v>
      </c>
      <c r="F3" s="7" t="s">
        <v>44</v>
      </c>
      <c r="G3" s="7" t="s">
        <v>9</v>
      </c>
      <c r="N3" s="1" t="s">
        <v>37</v>
      </c>
      <c r="O3" t="s">
        <v>38</v>
      </c>
      <c r="P3" t="s">
        <v>39</v>
      </c>
      <c r="Q3" t="s">
        <v>40</v>
      </c>
      <c r="R3" t="s">
        <v>41</v>
      </c>
      <c r="S3" t="s">
        <v>42</v>
      </c>
      <c r="T3" t="s">
        <v>43</v>
      </c>
      <c r="U3" t="s">
        <v>44</v>
      </c>
      <c r="V3" t="s">
        <v>45</v>
      </c>
    </row>
    <row r="4" spans="2:22" x14ac:dyDescent="0.25">
      <c r="B4" s="8" t="s">
        <v>47</v>
      </c>
      <c r="C4" s="8" t="s">
        <v>51</v>
      </c>
      <c r="D4" s="15">
        <f>S4</f>
        <v>4.2314884999999997E-2</v>
      </c>
      <c r="E4" s="15">
        <f t="shared" ref="E4:F7" si="0">T4</f>
        <v>2.7834145000000001E-2</v>
      </c>
      <c r="F4" s="15">
        <f t="shared" si="0"/>
        <v>1.52025097</v>
      </c>
      <c r="G4" s="9">
        <f>IF(V4&lt;0.001, "&lt; 0.001", ROUND(V4, 3))</f>
        <v>0.128</v>
      </c>
      <c r="M4" s="1"/>
      <c r="N4" t="s">
        <v>14</v>
      </c>
      <c r="O4" t="s">
        <v>15</v>
      </c>
      <c r="P4" t="s">
        <v>16</v>
      </c>
      <c r="Q4" t="s">
        <v>17</v>
      </c>
      <c r="R4">
        <v>0</v>
      </c>
      <c r="S4">
        <v>4.2314884999999997E-2</v>
      </c>
      <c r="T4">
        <v>2.7834145000000001E-2</v>
      </c>
      <c r="U4">
        <v>1.52025097</v>
      </c>
      <c r="V4" s="14">
        <v>0.1284479</v>
      </c>
    </row>
    <row r="5" spans="2:22" x14ac:dyDescent="0.25">
      <c r="B5" s="10"/>
      <c r="C5" s="10" t="s">
        <v>53</v>
      </c>
      <c r="D5" s="16">
        <f t="shared" ref="D5:D7" si="1">S5</f>
        <v>9.8022438000000003E-2</v>
      </c>
      <c r="E5" s="16">
        <f t="shared" si="0"/>
        <v>2.8663363000000001E-2</v>
      </c>
      <c r="F5" s="16">
        <f t="shared" si="0"/>
        <v>3.4197814900000001</v>
      </c>
      <c r="G5" s="11" t="str">
        <f t="shared" ref="G5:G11" si="2">IF(V5&lt;0.001, "&lt; 0.001", ROUND(V5, 3))</f>
        <v>&lt; 0.001</v>
      </c>
      <c r="M5" s="1"/>
      <c r="N5" t="s">
        <v>14</v>
      </c>
      <c r="O5" t="s">
        <v>15</v>
      </c>
      <c r="P5" t="s">
        <v>18</v>
      </c>
      <c r="Q5" t="s">
        <v>19</v>
      </c>
      <c r="R5">
        <v>0</v>
      </c>
      <c r="S5">
        <v>9.8022438000000003E-2</v>
      </c>
      <c r="T5">
        <v>2.8663363000000001E-2</v>
      </c>
      <c r="U5">
        <v>3.4197814900000001</v>
      </c>
      <c r="V5" s="14">
        <v>6.2671449999999996E-4</v>
      </c>
    </row>
    <row r="6" spans="2:22" x14ac:dyDescent="0.25">
      <c r="B6" s="10"/>
      <c r="C6" s="10" t="s">
        <v>55</v>
      </c>
      <c r="D6" s="16">
        <f t="shared" si="1"/>
        <v>8.3376501000000006E-2</v>
      </c>
      <c r="E6" s="16">
        <f t="shared" si="0"/>
        <v>3.5015907999999998E-2</v>
      </c>
      <c r="F6" s="16">
        <f t="shared" si="0"/>
        <v>2.3811034900000001</v>
      </c>
      <c r="G6" s="11">
        <f t="shared" si="2"/>
        <v>1.7000000000000001E-2</v>
      </c>
      <c r="M6" s="1"/>
      <c r="N6" t="s">
        <v>14</v>
      </c>
      <c r="O6" t="s">
        <v>15</v>
      </c>
      <c r="P6" t="s">
        <v>3</v>
      </c>
      <c r="Q6" t="s">
        <v>20</v>
      </c>
      <c r="R6">
        <v>0</v>
      </c>
      <c r="S6">
        <v>8.3376501000000006E-2</v>
      </c>
      <c r="T6">
        <v>3.5015907999999998E-2</v>
      </c>
      <c r="U6">
        <v>2.3811034900000001</v>
      </c>
      <c r="V6" s="14">
        <v>1.7260859999999999E-2</v>
      </c>
    </row>
    <row r="7" spans="2:22" x14ac:dyDescent="0.25">
      <c r="B7" s="10"/>
      <c r="C7" s="10" t="s">
        <v>58</v>
      </c>
      <c r="D7" s="16">
        <f t="shared" si="1"/>
        <v>0.22358718499999999</v>
      </c>
      <c r="E7" s="16">
        <f t="shared" si="0"/>
        <v>9.2266118999999994E-2</v>
      </c>
      <c r="F7" s="16">
        <f t="shared" si="0"/>
        <v>2.4232858799999999</v>
      </c>
      <c r="G7" s="11">
        <f t="shared" si="2"/>
        <v>1.4999999999999999E-2</v>
      </c>
      <c r="M7" s="1"/>
      <c r="N7" t="s">
        <v>14</v>
      </c>
      <c r="O7" t="s">
        <v>15</v>
      </c>
      <c r="P7" t="s">
        <v>21</v>
      </c>
      <c r="R7">
        <v>0</v>
      </c>
      <c r="S7">
        <v>0.22358718499999999</v>
      </c>
      <c r="T7">
        <v>9.2266118999999994E-2</v>
      </c>
      <c r="U7">
        <v>2.4232858799999999</v>
      </c>
      <c r="V7" s="14">
        <v>1.538082E-2</v>
      </c>
    </row>
    <row r="8" spans="2:22" x14ac:dyDescent="0.25">
      <c r="B8" s="10" t="s">
        <v>48</v>
      </c>
      <c r="C8" s="10" t="s">
        <v>52</v>
      </c>
      <c r="D8" s="16">
        <f t="shared" ref="D8:D11" si="3">S8</f>
        <v>0.27067046</v>
      </c>
      <c r="E8" s="16">
        <f t="shared" ref="E8:E11" si="4">T8</f>
        <v>6.4565054999999996E-2</v>
      </c>
      <c r="F8" s="16">
        <f t="shared" ref="F8:F11" si="5">U8</f>
        <v>4.1922129799999999</v>
      </c>
      <c r="G8" s="11" t="str">
        <f t="shared" si="2"/>
        <v>&lt; 0.001</v>
      </c>
      <c r="M8" s="1"/>
      <c r="N8" t="s">
        <v>16</v>
      </c>
      <c r="O8" t="s">
        <v>15</v>
      </c>
      <c r="P8" t="s">
        <v>3</v>
      </c>
      <c r="Q8" t="s">
        <v>22</v>
      </c>
      <c r="R8">
        <v>0</v>
      </c>
      <c r="S8">
        <v>0.27067046</v>
      </c>
      <c r="T8">
        <v>6.4565054999999996E-2</v>
      </c>
      <c r="U8">
        <v>4.1922129799999999</v>
      </c>
      <c r="V8" s="14">
        <v>2.762465E-5</v>
      </c>
    </row>
    <row r="9" spans="2:22" x14ac:dyDescent="0.25">
      <c r="B9" s="10"/>
      <c r="C9" s="10" t="s">
        <v>58</v>
      </c>
      <c r="D9" s="16">
        <f t="shared" si="3"/>
        <v>0.32831475999999998</v>
      </c>
      <c r="E9" s="16">
        <f t="shared" si="4"/>
        <v>0.18795213299999999</v>
      </c>
      <c r="F9" s="16">
        <f t="shared" si="5"/>
        <v>1.74679987</v>
      </c>
      <c r="G9" s="11">
        <f t="shared" si="2"/>
        <v>8.1000000000000003E-2</v>
      </c>
      <c r="M9" s="1"/>
      <c r="N9" t="s">
        <v>16</v>
      </c>
      <c r="O9" t="s">
        <v>15</v>
      </c>
      <c r="P9" t="s">
        <v>21</v>
      </c>
      <c r="R9">
        <v>0</v>
      </c>
      <c r="S9">
        <v>0.32831475999999998</v>
      </c>
      <c r="T9">
        <v>0.18795213299999999</v>
      </c>
      <c r="U9">
        <v>1.74679987</v>
      </c>
      <c r="V9" s="14">
        <v>8.0672060000000004E-2</v>
      </c>
    </row>
    <row r="10" spans="2:22" x14ac:dyDescent="0.25">
      <c r="B10" s="10" t="s">
        <v>49</v>
      </c>
      <c r="C10" s="10" t="s">
        <v>54</v>
      </c>
      <c r="D10" s="16">
        <f t="shared" si="3"/>
        <v>0.46103715699999998</v>
      </c>
      <c r="E10" s="16">
        <f t="shared" si="4"/>
        <v>6.2697216E-2</v>
      </c>
      <c r="F10" s="16">
        <f t="shared" si="5"/>
        <v>7.3533912099999998</v>
      </c>
      <c r="G10" s="11" t="str">
        <f t="shared" si="2"/>
        <v>&lt; 0.001</v>
      </c>
      <c r="M10" s="1"/>
      <c r="N10" t="s">
        <v>18</v>
      </c>
      <c r="O10" t="s">
        <v>15</v>
      </c>
      <c r="P10" t="s">
        <v>3</v>
      </c>
      <c r="Q10" t="s">
        <v>23</v>
      </c>
      <c r="R10">
        <v>0</v>
      </c>
      <c r="S10">
        <v>0.46103715699999998</v>
      </c>
      <c r="T10">
        <v>6.2697216E-2</v>
      </c>
      <c r="U10">
        <v>7.3533912099999998</v>
      </c>
      <c r="V10" s="14">
        <v>1.931788E-13</v>
      </c>
    </row>
    <row r="11" spans="2:22" x14ac:dyDescent="0.25">
      <c r="B11" s="10"/>
      <c r="C11" s="10" t="s">
        <v>58</v>
      </c>
      <c r="D11" s="16">
        <f t="shared" si="3"/>
        <v>7.2492779999999996E-3</v>
      </c>
      <c r="E11" s="16">
        <f t="shared" si="4"/>
        <v>0.18251476</v>
      </c>
      <c r="F11" s="16">
        <f t="shared" si="5"/>
        <v>3.9718860000000002E-2</v>
      </c>
      <c r="G11" s="11">
        <f t="shared" si="2"/>
        <v>0.96799999999999997</v>
      </c>
      <c r="M11" s="1"/>
      <c r="N11" t="s">
        <v>18</v>
      </c>
      <c r="O11" t="s">
        <v>15</v>
      </c>
      <c r="P11" t="s">
        <v>21</v>
      </c>
      <c r="R11">
        <v>0</v>
      </c>
      <c r="S11">
        <v>7.2492779999999996E-3</v>
      </c>
      <c r="T11">
        <v>0.18251476</v>
      </c>
      <c r="U11">
        <v>3.9718860000000002E-2</v>
      </c>
      <c r="V11" s="14">
        <v>0.96831730000000005</v>
      </c>
    </row>
    <row r="12" spans="2:22" x14ac:dyDescent="0.25">
      <c r="B12" s="10"/>
      <c r="C12" s="10"/>
      <c r="D12" s="16"/>
      <c r="E12" s="16"/>
      <c r="F12" s="16"/>
      <c r="G12" s="17"/>
      <c r="M12" s="1"/>
      <c r="N12" t="s">
        <v>14</v>
      </c>
      <c r="O12" t="s">
        <v>24</v>
      </c>
      <c r="P12" t="s">
        <v>14</v>
      </c>
      <c r="R12">
        <v>0</v>
      </c>
      <c r="S12">
        <v>0.58858404499999994</v>
      </c>
      <c r="T12">
        <v>4.7429454000000003E-2</v>
      </c>
      <c r="U12">
        <v>12.40967365</v>
      </c>
      <c r="V12" s="14">
        <v>0</v>
      </c>
    </row>
    <row r="13" spans="2:22" x14ac:dyDescent="0.25">
      <c r="B13" s="10" t="s">
        <v>56</v>
      </c>
      <c r="C13" s="10" t="s">
        <v>28</v>
      </c>
      <c r="D13" s="16">
        <f>S18</f>
        <v>1.1453389E-2</v>
      </c>
      <c r="E13" s="16">
        <f t="shared" ref="E13:F13" si="6">T18</f>
        <v>8.0139579999999998E-3</v>
      </c>
      <c r="F13" s="16">
        <f t="shared" si="6"/>
        <v>1.4291800800000001</v>
      </c>
      <c r="G13" s="11">
        <f>IF(V18&lt;0.001, "&lt; 0.001", ROUND(V18, 3))</f>
        <v>0.153</v>
      </c>
      <c r="M13" s="1"/>
      <c r="N13" t="s">
        <v>16</v>
      </c>
      <c r="O13" t="s">
        <v>24</v>
      </c>
      <c r="P13" t="s">
        <v>16</v>
      </c>
      <c r="R13">
        <v>0</v>
      </c>
      <c r="S13">
        <v>2.4666186510000001</v>
      </c>
      <c r="T13">
        <v>0.198765795</v>
      </c>
      <c r="U13">
        <v>12.40967365</v>
      </c>
      <c r="V13" s="14">
        <v>0</v>
      </c>
    </row>
    <row r="14" spans="2:22" x14ac:dyDescent="0.25">
      <c r="B14" s="12" t="s">
        <v>57</v>
      </c>
      <c r="C14" s="12" t="s">
        <v>30</v>
      </c>
      <c r="D14" s="18">
        <f>S19</f>
        <v>4.5191986000000003E-2</v>
      </c>
      <c r="E14" s="18">
        <f t="shared" ref="E14" si="7">T19</f>
        <v>1.4574052000000001E-2</v>
      </c>
      <c r="F14" s="18">
        <f t="shared" ref="F14" si="8">U19</f>
        <v>3.1008526500000002</v>
      </c>
      <c r="G14" s="13">
        <f>IF(V19&lt;0.001, "&lt; 0.001", ROUND(V19, 3))</f>
        <v>2E-3</v>
      </c>
      <c r="M14" s="1"/>
      <c r="N14" t="s">
        <v>18</v>
      </c>
      <c r="O14" t="s">
        <v>24</v>
      </c>
      <c r="P14" t="s">
        <v>18</v>
      </c>
      <c r="R14">
        <v>0</v>
      </c>
      <c r="S14">
        <v>2.325966631</v>
      </c>
      <c r="T14">
        <v>0.18743173299999999</v>
      </c>
      <c r="U14">
        <v>12.40967365</v>
      </c>
      <c r="V14" s="14">
        <v>0</v>
      </c>
    </row>
    <row r="15" spans="2:22" x14ac:dyDescent="0.25">
      <c r="B15" s="19" t="s">
        <v>59</v>
      </c>
      <c r="M15" s="1"/>
      <c r="N15" t="s">
        <v>3</v>
      </c>
      <c r="O15" t="s">
        <v>24</v>
      </c>
      <c r="P15" t="s">
        <v>3</v>
      </c>
      <c r="R15">
        <v>1</v>
      </c>
      <c r="S15">
        <v>1.9212234239999999</v>
      </c>
      <c r="T15">
        <v>0</v>
      </c>
      <c r="U15" t="s">
        <v>25</v>
      </c>
      <c r="V15" t="s">
        <v>25</v>
      </c>
    </row>
    <row r="16" spans="2:22" x14ac:dyDescent="0.25">
      <c r="M16" s="1"/>
      <c r="N16" t="s">
        <v>3</v>
      </c>
      <c r="O16" t="s">
        <v>24</v>
      </c>
      <c r="P16" t="s">
        <v>21</v>
      </c>
      <c r="R16">
        <v>1</v>
      </c>
      <c r="S16">
        <v>-4.6568529999999999E-3</v>
      </c>
      <c r="T16">
        <v>0</v>
      </c>
      <c r="U16" t="s">
        <v>25</v>
      </c>
      <c r="V16" t="s">
        <v>25</v>
      </c>
    </row>
    <row r="17" spans="13:22" x14ac:dyDescent="0.25">
      <c r="M17" s="1"/>
      <c r="N17" t="s">
        <v>21</v>
      </c>
      <c r="O17" t="s">
        <v>24</v>
      </c>
      <c r="P17" t="s">
        <v>21</v>
      </c>
      <c r="R17">
        <v>1</v>
      </c>
      <c r="S17">
        <v>0.22671403300000001</v>
      </c>
      <c r="T17">
        <v>0</v>
      </c>
      <c r="U17" t="s">
        <v>25</v>
      </c>
      <c r="V17" t="s">
        <v>25</v>
      </c>
    </row>
    <row r="18" spans="13:22" x14ac:dyDescent="0.25">
      <c r="M18" s="1"/>
      <c r="N18" t="s">
        <v>26</v>
      </c>
      <c r="O18" t="s">
        <v>27</v>
      </c>
      <c r="P18" t="s">
        <v>28</v>
      </c>
      <c r="Q18" t="s">
        <v>26</v>
      </c>
      <c r="R18">
        <v>0</v>
      </c>
      <c r="S18">
        <v>1.1453389E-2</v>
      </c>
      <c r="T18">
        <v>8.0139579999999998E-3</v>
      </c>
      <c r="U18">
        <v>1.4291800800000001</v>
      </c>
      <c r="V18" s="14">
        <v>0.15295249999999999</v>
      </c>
    </row>
    <row r="19" spans="13:22" x14ac:dyDescent="0.25">
      <c r="M19" s="1"/>
      <c r="N19" t="s">
        <v>29</v>
      </c>
      <c r="O19" t="s">
        <v>27</v>
      </c>
      <c r="P19" t="s">
        <v>30</v>
      </c>
      <c r="Q19" t="s">
        <v>29</v>
      </c>
      <c r="R19">
        <v>0</v>
      </c>
      <c r="S19">
        <v>4.5191986000000003E-2</v>
      </c>
      <c r="T19">
        <v>1.4574052000000001E-2</v>
      </c>
      <c r="U19">
        <v>3.1008526500000002</v>
      </c>
      <c r="V19" s="14">
        <v>1.929643E-3</v>
      </c>
    </row>
    <row r="20" spans="13:22" x14ac:dyDescent="0.25">
      <c r="M20" s="1"/>
      <c r="N20" t="s">
        <v>31</v>
      </c>
      <c r="O20" t="s">
        <v>27</v>
      </c>
      <c r="P20" t="s">
        <v>32</v>
      </c>
      <c r="Q20" t="s">
        <v>31</v>
      </c>
      <c r="R20">
        <v>0</v>
      </c>
      <c r="S20">
        <v>0.14002187699999999</v>
      </c>
      <c r="T20">
        <v>3.2248344999999998E-2</v>
      </c>
      <c r="U20">
        <v>4.3419864600000002</v>
      </c>
      <c r="V20" s="14">
        <v>1.412002E-5</v>
      </c>
    </row>
    <row r="21" spans="13:22" x14ac:dyDescent="0.25">
      <c r="M21" s="1"/>
      <c r="N21" t="s">
        <v>33</v>
      </c>
      <c r="O21" t="s">
        <v>27</v>
      </c>
      <c r="P21" t="s">
        <v>34</v>
      </c>
      <c r="Q21" t="s">
        <v>33</v>
      </c>
      <c r="R21">
        <v>0</v>
      </c>
      <c r="S21">
        <v>8.1797143000000003E-2</v>
      </c>
      <c r="T21">
        <v>5.9735248999999997E-2</v>
      </c>
      <c r="U21">
        <v>1.3693279</v>
      </c>
      <c r="V21" s="14">
        <v>0.17089679999999999</v>
      </c>
    </row>
    <row r="22" spans="13:22" x14ac:dyDescent="0.25">
      <c r="M22" s="2"/>
      <c r="N22" t="s">
        <v>35</v>
      </c>
      <c r="O22" t="s">
        <v>27</v>
      </c>
      <c r="P22" t="s">
        <v>36</v>
      </c>
      <c r="Q22" t="s">
        <v>35</v>
      </c>
      <c r="R22">
        <v>0</v>
      </c>
      <c r="S22">
        <v>0.32274946799999998</v>
      </c>
      <c r="T22">
        <v>0.122944146</v>
      </c>
      <c r="U22">
        <v>2.6251715</v>
      </c>
      <c r="V22" s="14">
        <v>8.6605329999999998E-3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direct_effect</vt:lpstr>
      <vt:lpstr>mediations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Taylor</dc:creator>
  <cp:lastModifiedBy>Taylor Winter</cp:lastModifiedBy>
  <dcterms:created xsi:type="dcterms:W3CDTF">2015-06-05T18:17:20Z</dcterms:created>
  <dcterms:modified xsi:type="dcterms:W3CDTF">2025-08-02T03:21:03Z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2b2326c-f811-4ccc-abcb-1b955c303c2e_Enabled">
    <vt:lpwstr>true</vt:lpwstr>
  </property>
  <property fmtid="{D5CDD505-2E9C-101B-9397-08002B2CF9AE}" pid="3" name="MSIP_Label_d2b2326c-f811-4ccc-abcb-1b955c303c2e_SetDate">
    <vt:lpwstr>2025-08-02T00:25:58Z</vt:lpwstr>
  </property>
  <property fmtid="{D5CDD505-2E9C-101B-9397-08002B2CF9AE}" pid="4" name="MSIP_Label_d2b2326c-f811-4ccc-abcb-1b955c303c2e_Method">
    <vt:lpwstr>Standard</vt:lpwstr>
  </property>
  <property fmtid="{D5CDD505-2E9C-101B-9397-08002B2CF9AE}" pid="5" name="MSIP_Label_d2b2326c-f811-4ccc-abcb-1b955c303c2e_Name">
    <vt:lpwstr>In-Confidence</vt:lpwstr>
  </property>
  <property fmtid="{D5CDD505-2E9C-101B-9397-08002B2CF9AE}" pid="6" name="MSIP_Label_d2b2326c-f811-4ccc-abcb-1b955c303c2e_SiteId">
    <vt:lpwstr>dc781727-710e-4855-bc4c-690266a1b551</vt:lpwstr>
  </property>
  <property fmtid="{D5CDD505-2E9C-101B-9397-08002B2CF9AE}" pid="7" name="MSIP_Label_d2b2326c-f811-4ccc-abcb-1b955c303c2e_ActionId">
    <vt:lpwstr>7fbc35a5-332c-4ce1-a084-daaa1fa9fce2</vt:lpwstr>
  </property>
  <property fmtid="{D5CDD505-2E9C-101B-9397-08002B2CF9AE}" pid="8" name="MSIP_Label_d2b2326c-f811-4ccc-abcb-1b955c303c2e_ContentBits">
    <vt:lpwstr>2</vt:lpwstr>
  </property>
  <property fmtid="{D5CDD505-2E9C-101B-9397-08002B2CF9AE}" pid="9" name="MSIP_Label_d2b2326c-f811-4ccc-abcb-1b955c303c2e_Tag">
    <vt:lpwstr>10, 3, 0, 1</vt:lpwstr>
  </property>
</Properties>
</file>