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ojects\colleges_belonging\"/>
    </mc:Choice>
  </mc:AlternateContent>
  <xr:revisionPtr revIDLastSave="0" documentId="13_ncr:1_{51E5F009-0D81-4681-8BF9-B836FDA0A6D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rr_matrix" sheetId="4" r:id="rId1"/>
    <sheet name="direct_effect" sheetId="1" r:id="rId2"/>
    <sheet name="medi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2" l="1"/>
  <c r="T19" i="2"/>
  <c r="U19" i="2"/>
  <c r="V19" i="2"/>
  <c r="G15" i="2" s="1"/>
  <c r="S20" i="2"/>
  <c r="T20" i="2"/>
  <c r="U20" i="2"/>
  <c r="V20" i="2"/>
  <c r="S21" i="2"/>
  <c r="T21" i="2"/>
  <c r="U21" i="2"/>
  <c r="V21" i="2"/>
  <c r="S22" i="2"/>
  <c r="T22" i="2"/>
  <c r="U22" i="2"/>
  <c r="V22" i="2"/>
  <c r="T18" i="2"/>
  <c r="E14" i="2" s="1"/>
  <c r="U18" i="2"/>
  <c r="V18" i="2"/>
  <c r="G14" i="2" s="1"/>
  <c r="S18" i="2"/>
  <c r="D14" i="2" s="1"/>
  <c r="S5" i="2"/>
  <c r="T5" i="2"/>
  <c r="U5" i="2"/>
  <c r="V5" i="2"/>
  <c r="S6" i="2"/>
  <c r="T6" i="2"/>
  <c r="U6" i="2"/>
  <c r="V6" i="2"/>
  <c r="S7" i="2"/>
  <c r="T7" i="2"/>
  <c r="U7" i="2"/>
  <c r="V7" i="2"/>
  <c r="S8" i="2"/>
  <c r="T8" i="2"/>
  <c r="U8" i="2"/>
  <c r="V8" i="2"/>
  <c r="S9" i="2"/>
  <c r="T9" i="2"/>
  <c r="U9" i="2"/>
  <c r="V9" i="2"/>
  <c r="S10" i="2"/>
  <c r="T10" i="2"/>
  <c r="U10" i="2"/>
  <c r="V10" i="2"/>
  <c r="S11" i="2"/>
  <c r="T11" i="2"/>
  <c r="U11" i="2"/>
  <c r="V11" i="2"/>
  <c r="S12" i="2"/>
  <c r="T12" i="2"/>
  <c r="U12" i="2"/>
  <c r="V12" i="2"/>
  <c r="T4" i="2"/>
  <c r="E4" i="2" s="1"/>
  <c r="U4" i="2"/>
  <c r="F4" i="2" s="1"/>
  <c r="V4" i="2"/>
  <c r="G4" i="2" s="1"/>
  <c r="S4" i="2"/>
  <c r="D4" i="2"/>
  <c r="F6" i="1"/>
  <c r="F8" i="1"/>
  <c r="F7" i="1"/>
  <c r="G5" i="2"/>
  <c r="G6" i="2"/>
  <c r="G7" i="2"/>
  <c r="G8" i="2"/>
  <c r="G9" i="2"/>
  <c r="G10" i="2"/>
  <c r="G11" i="2"/>
  <c r="G12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F14" i="2"/>
  <c r="E15" i="2"/>
  <c r="F15" i="2"/>
  <c r="D8" i="2"/>
  <c r="D9" i="2"/>
  <c r="D10" i="2"/>
  <c r="D11" i="2"/>
  <c r="D12" i="2"/>
  <c r="D7" i="2"/>
  <c r="D15" i="2"/>
  <c r="D5" i="2"/>
  <c r="D6" i="2"/>
  <c r="F5" i="1"/>
  <c r="D5" i="1"/>
  <c r="E5" i="1"/>
  <c r="D6" i="1"/>
  <c r="E6" i="1"/>
  <c r="D7" i="1"/>
  <c r="E7" i="1"/>
  <c r="D8" i="1"/>
  <c r="E8" i="1"/>
  <c r="C5" i="1"/>
  <c r="C8" i="1"/>
  <c r="C7" i="1"/>
  <c r="C6" i="1"/>
</calcChain>
</file>

<file path=xl/sharedStrings.xml><?xml version="1.0" encoding="utf-8"?>
<sst xmlns="http://schemas.openxmlformats.org/spreadsheetml/2006/main" count="209" uniqueCount="96">
  <si>
    <t>(Intercept)</t>
  </si>
  <si>
    <t>exits</t>
  </si>
  <si>
    <t>gendermale</t>
  </si>
  <si>
    <t>Intercept</t>
  </si>
  <si>
    <t>Sex (Male)</t>
  </si>
  <si>
    <t>t</t>
  </si>
  <si>
    <t>p</t>
  </si>
  <si>
    <t>b</t>
  </si>
  <si>
    <t>SE</t>
  </si>
  <si>
    <t>~</t>
  </si>
  <si>
    <t>continuity</t>
  </si>
  <si>
    <t>b1</t>
  </si>
  <si>
    <t>gain</t>
  </si>
  <si>
    <t>b2</t>
  </si>
  <si>
    <t>c</t>
  </si>
  <si>
    <t>gender</t>
  </si>
  <si>
    <t>a1</t>
  </si>
  <si>
    <t>a2</t>
  </si>
  <si>
    <t>m1</t>
  </si>
  <si>
    <t>:=</t>
  </si>
  <si>
    <t>a1*b1</t>
  </si>
  <si>
    <t>m2</t>
  </si>
  <si>
    <t>a2*b2</t>
  </si>
  <si>
    <t>total</t>
  </si>
  <si>
    <t>(a1*b1)+(a2*b2)+c</t>
  </si>
  <si>
    <t>m1_prop</t>
  </si>
  <si>
    <t>m1/total</t>
  </si>
  <si>
    <t>m2_prop</t>
  </si>
  <si>
    <t>m2/total</t>
  </si>
  <si>
    <t>lhs</t>
  </si>
  <si>
    <t>op</t>
  </si>
  <si>
    <t>rhs</t>
  </si>
  <si>
    <t>label</t>
  </si>
  <si>
    <t>est</t>
  </si>
  <si>
    <t>se</t>
  </si>
  <si>
    <t>z</t>
  </si>
  <si>
    <t>pvalue</t>
  </si>
  <si>
    <t>Outcome</t>
  </si>
  <si>
    <t>Effect</t>
  </si>
  <si>
    <t>Identity continuity (b1)</t>
  </si>
  <si>
    <t>Pre-university identity (a1)</t>
  </si>
  <si>
    <t>Identity gain (b2)</t>
  </si>
  <si>
    <t>Pre-university identity (a2)</t>
  </si>
  <si>
    <t>Pre-university identity (c′)</t>
  </si>
  <si>
    <t>Mediation (continuity)</t>
  </si>
  <si>
    <t>Mediation (gain)</t>
  </si>
  <si>
    <t>Gender</t>
  </si>
  <si>
    <t>(1)</t>
  </si>
  <si>
    <t>(2)</t>
  </si>
  <si>
    <t>(3)</t>
  </si>
  <si>
    <t xml:space="preserve">           exits wmws_t1 continuity gain wmws_t3</t>
  </si>
  <si>
    <t>wmws_t1</t>
  </si>
  <si>
    <t>wmws_t3</t>
  </si>
  <si>
    <t>Pre-university identity T1 (1)</t>
  </si>
  <si>
    <t>Wellbeing T1 (2)</t>
  </si>
  <si>
    <t>Identity continuity T2 (3)</t>
  </si>
  <si>
    <t>Identity gain T2 (4)</t>
  </si>
  <si>
    <t>Wellbeing T3(5)</t>
  </si>
  <si>
    <t>(4)</t>
  </si>
  <si>
    <r>
      <rPr>
        <b/>
        <sz val="11"/>
        <color theme="1"/>
        <rFont val="Calibri"/>
        <family val="2"/>
        <scheme val="minor"/>
      </rPr>
      <t>Table 1.</t>
    </r>
    <r>
      <rPr>
        <sz val="11"/>
        <color theme="1"/>
        <rFont val="Calibri"/>
        <family val="2"/>
        <scheme val="minor"/>
      </rPr>
      <t xml:space="preserve"> Correlation matrix of all continuous variables.</t>
    </r>
  </si>
  <si>
    <t>Est.</t>
  </si>
  <si>
    <t>S.E.</t>
  </si>
  <si>
    <t>t val.</t>
  </si>
  <si>
    <t>-----------------</t>
  </si>
  <si>
    <t>-------</t>
  </si>
  <si>
    <t>------</t>
  </si>
  <si>
    <t>--------</t>
  </si>
  <si>
    <t>Wellbeing (T1)</t>
  </si>
  <si>
    <t>Pre-existing identity (T1)</t>
  </si>
  <si>
    <r>
      <t>Table 2.</t>
    </r>
    <r>
      <rPr>
        <sz val="11"/>
        <color rgb="FF000000"/>
        <rFont val="Calibri"/>
        <family val="2"/>
        <scheme val="minor"/>
      </rPr>
      <t xml:space="preserve"> Wellbeing after one year of university predicted by social identity before starting university while controlling for gender and baseline wellbeing.</t>
    </r>
  </si>
  <si>
    <t>N = 330</t>
  </si>
  <si>
    <t>Wellbeing (T3)</t>
  </si>
  <si>
    <t>Identity continuity (T2)</t>
  </si>
  <si>
    <t>Identity gain (T2)</t>
  </si>
  <si>
    <r>
      <t xml:space="preserve">Table 3. </t>
    </r>
    <r>
      <rPr>
        <sz val="11"/>
        <color theme="1"/>
        <rFont val="Calibri"/>
        <family val="2"/>
        <scheme val="minor"/>
      </rPr>
      <t>Regression coefficients and indirect effects of EXITS measures on wellbeing while controlling for gender.</t>
    </r>
  </si>
  <si>
    <t>N = 300</t>
  </si>
  <si>
    <t>Variable</t>
  </si>
  <si>
    <t>Pre-university identity T1 (1)</t>
  </si>
  <si>
    <t>Wellbeing T1 (2)</t>
  </si>
  <si>
    <t>Identity continuity T2 (3)</t>
  </si>
  <si>
    <t>Identity gain T2 (4)</t>
  </si>
  <si>
    <t>Wellbeing T3 (5)</t>
  </si>
  <si>
    <t>N = 416</t>
  </si>
  <si>
    <r>
      <t>Note.</t>
    </r>
    <r>
      <rPr>
        <sz val="12"/>
        <color theme="1"/>
        <rFont val="Calibri"/>
        <family val="2"/>
        <scheme val="minor"/>
      </rPr>
      <t xml:space="preserve"> *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&lt; .05, **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&lt; .01, *** 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&lt; .001.</t>
    </r>
  </si>
  <si>
    <t>0.43***</t>
  </si>
  <si>
    <t>0.26***</t>
  </si>
  <si>
    <t>0.23***</t>
  </si>
  <si>
    <t>0.49***</t>
  </si>
  <si>
    <t>0.27***</t>
  </si>
  <si>
    <t>0.47***</t>
  </si>
  <si>
    <t>0.21***</t>
  </si>
  <si>
    <t>0.28***</t>
  </si>
  <si>
    <t>0.18**</t>
  </si>
  <si>
    <t>ci.lower</t>
  </si>
  <si>
    <t>ci.upper</t>
  </si>
  <si>
    <t>std.all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</si>
</sst>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i/>
      <sz val="11"/>
      <color theme="1"/>
      <name val="Calibri"/>
      <family val="2"/>
      <scheme val="minor"/>
    </font>
    <font>
      <i/>
      <sz val="11"/>
      <color theme="1"/>
      <name val="Aptos Narrow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FFFFFF"/>
      <name val="Segoe UI"/>
      <family val="2"/>
    </font>
    <font>
      <sz val="8"/>
      <color theme="1"/>
      <name val="Segoe UI"/>
      <family val="2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E5C68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6" fillId="0" borderId="0" xfId="0" applyNumberFormat="1" applyFont="1" applyAlignment="1">
      <alignment horizontal="center"/>
    </xf>
    <xf numFmtId="0" fontId="5" fillId="0" borderId="3" xfId="0" applyFont="1" applyBorder="1" applyAlignment="1">
      <alignment vertical="center"/>
    </xf>
    <xf numFmtId="2" fontId="6" fillId="0" borderId="3" xfId="0" applyNumberFormat="1" applyFont="1" applyBorder="1" applyAlignment="1">
      <alignment horizontal="center"/>
    </xf>
    <xf numFmtId="0" fontId="7" fillId="0" borderId="0" xfId="0" applyFont="1"/>
    <xf numFmtId="164" fontId="0" fillId="0" borderId="0" xfId="0" applyNumberFormat="1" applyAlignment="1">
      <alignment horizontal="center"/>
    </xf>
    <xf numFmtId="0" fontId="1" fillId="0" borderId="0" xfId="0" applyFont="1"/>
    <xf numFmtId="0" fontId="9" fillId="3" borderId="4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vertical="center"/>
    </xf>
    <xf numFmtId="0" fontId="11" fillId="0" borderId="0" xfId="0" applyFont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20</xdr:row>
      <xdr:rowOff>66674</xdr:rowOff>
    </xdr:from>
    <xdr:to>
      <xdr:col>11</xdr:col>
      <xdr:colOff>390525</xdr:colOff>
      <xdr:row>37</xdr:row>
      <xdr:rowOff>104775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1FE49B87-001D-1497-85D2-3EF91D640557}"/>
            </a:ext>
          </a:extLst>
        </xdr:cNvPr>
        <xdr:cNvGrpSpPr/>
      </xdr:nvGrpSpPr>
      <xdr:grpSpPr>
        <a:xfrm>
          <a:off x="676274" y="3876674"/>
          <a:ext cx="8420101" cy="3276601"/>
          <a:chOff x="676274" y="3876674"/>
          <a:chExt cx="8420101" cy="3276601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DFADD39A-9CFF-580C-7B8A-49A42910E7F2}"/>
              </a:ext>
            </a:extLst>
          </xdr:cNvPr>
          <xdr:cNvSpPr/>
        </xdr:nvSpPr>
        <xdr:spPr>
          <a:xfrm>
            <a:off x="676274" y="4991099"/>
            <a:ext cx="1914526" cy="69532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NZ" sz="1200">
                <a:solidFill>
                  <a:sysClr val="windowText" lastClr="000000"/>
                </a:solidFill>
              </a:rPr>
              <a:t>Pre-university</a:t>
            </a:r>
            <a:r>
              <a:rPr lang="en-NZ" sz="1200" baseline="0">
                <a:solidFill>
                  <a:sysClr val="windowText" lastClr="000000"/>
                </a:solidFill>
              </a:rPr>
              <a:t> identity (T1)</a:t>
            </a:r>
            <a:endParaRPr lang="en-NZ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A1FBCB0-DFD0-41BB-A568-18BAD3225E07}"/>
              </a:ext>
            </a:extLst>
          </xdr:cNvPr>
          <xdr:cNvSpPr/>
        </xdr:nvSpPr>
        <xdr:spPr>
          <a:xfrm>
            <a:off x="3933824" y="3876674"/>
            <a:ext cx="1914526" cy="69532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NZ" sz="1200">
                <a:solidFill>
                  <a:sysClr val="windowText" lastClr="000000"/>
                </a:solidFill>
              </a:rPr>
              <a:t>Identity continuity</a:t>
            </a:r>
            <a:r>
              <a:rPr lang="en-NZ" sz="1200" baseline="0">
                <a:solidFill>
                  <a:sysClr val="windowText" lastClr="000000"/>
                </a:solidFill>
              </a:rPr>
              <a:t> (T2)</a:t>
            </a:r>
            <a:endParaRPr lang="en-NZ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B66CF55-C844-4D7B-88F2-8BDED02EACD0}"/>
              </a:ext>
            </a:extLst>
          </xdr:cNvPr>
          <xdr:cNvSpPr/>
        </xdr:nvSpPr>
        <xdr:spPr>
          <a:xfrm>
            <a:off x="3933824" y="6095999"/>
            <a:ext cx="1914526" cy="69532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NZ" sz="1200">
                <a:solidFill>
                  <a:sysClr val="windowText" lastClr="000000"/>
                </a:solidFill>
              </a:rPr>
              <a:t>Identity gain</a:t>
            </a:r>
            <a:r>
              <a:rPr lang="en-NZ" sz="1200" baseline="0">
                <a:solidFill>
                  <a:sysClr val="windowText" lastClr="000000"/>
                </a:solidFill>
              </a:rPr>
              <a:t> (T2)</a:t>
            </a:r>
            <a:endParaRPr lang="en-NZ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E0CB2D1-74CE-4B0D-8C16-7B7A73C21663}"/>
              </a:ext>
            </a:extLst>
          </xdr:cNvPr>
          <xdr:cNvSpPr/>
        </xdr:nvSpPr>
        <xdr:spPr>
          <a:xfrm>
            <a:off x="7181849" y="4991099"/>
            <a:ext cx="1914526" cy="69532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NZ" sz="1200">
                <a:solidFill>
                  <a:sysClr val="windowText" lastClr="000000"/>
                </a:solidFill>
              </a:rPr>
              <a:t>Pre-university</a:t>
            </a:r>
            <a:r>
              <a:rPr lang="en-NZ" sz="1200" baseline="0">
                <a:solidFill>
                  <a:sysClr val="windowText" lastClr="000000"/>
                </a:solidFill>
              </a:rPr>
              <a:t> identity (T3)</a:t>
            </a:r>
            <a:endParaRPr lang="en-NZ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C135C9B4-002A-4EE0-9585-F435984F2104}"/>
              </a:ext>
            </a:extLst>
          </xdr:cNvPr>
          <xdr:cNvSpPr/>
        </xdr:nvSpPr>
        <xdr:spPr>
          <a:xfrm>
            <a:off x="6276974" y="6457949"/>
            <a:ext cx="1914526" cy="69532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NZ" sz="1200">
                <a:solidFill>
                  <a:sysClr val="windowText" lastClr="000000"/>
                </a:solidFill>
              </a:rPr>
              <a:t>Pre-university</a:t>
            </a:r>
            <a:r>
              <a:rPr lang="en-NZ" sz="1200" baseline="0">
                <a:solidFill>
                  <a:sysClr val="windowText" lastClr="000000"/>
                </a:solidFill>
              </a:rPr>
              <a:t> identity (T1)</a:t>
            </a:r>
            <a:endParaRPr lang="en-NZ" sz="12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101145E9-4FF1-54CE-84B9-8222052CD24A}"/>
              </a:ext>
            </a:extLst>
          </xdr:cNvPr>
          <xdr:cNvCxnSpPr>
            <a:stCxn id="2" idx="3"/>
            <a:endCxn id="6" idx="1"/>
          </xdr:cNvCxnSpPr>
        </xdr:nvCxnSpPr>
        <xdr:spPr>
          <a:xfrm>
            <a:off x="2590800" y="5338762"/>
            <a:ext cx="4591049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33E76F14-147E-7B6A-B365-9A4A1126C7EA}"/>
              </a:ext>
            </a:extLst>
          </xdr:cNvPr>
          <xdr:cNvCxnSpPr>
            <a:stCxn id="2" idx="3"/>
            <a:endCxn id="4" idx="1"/>
          </xdr:cNvCxnSpPr>
        </xdr:nvCxnSpPr>
        <xdr:spPr>
          <a:xfrm flipV="1">
            <a:off x="2590800" y="4224337"/>
            <a:ext cx="1343024" cy="11144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D204EEA2-016F-90EF-6E91-316FF2D3A211}"/>
              </a:ext>
            </a:extLst>
          </xdr:cNvPr>
          <xdr:cNvCxnSpPr>
            <a:stCxn id="2" idx="3"/>
            <a:endCxn id="5" idx="1"/>
          </xdr:cNvCxnSpPr>
        </xdr:nvCxnSpPr>
        <xdr:spPr>
          <a:xfrm>
            <a:off x="2590800" y="5338762"/>
            <a:ext cx="1343024" cy="11049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8A96E6A8-3647-31F2-A16B-4CCD0F622001}"/>
              </a:ext>
            </a:extLst>
          </xdr:cNvPr>
          <xdr:cNvCxnSpPr>
            <a:stCxn id="4" idx="3"/>
            <a:endCxn id="6" idx="1"/>
          </xdr:cNvCxnSpPr>
        </xdr:nvCxnSpPr>
        <xdr:spPr>
          <a:xfrm>
            <a:off x="5848350" y="4224337"/>
            <a:ext cx="1333499" cy="11144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63EB1AD4-59E8-2E6D-2C4F-0A3CBEDE19B4}"/>
              </a:ext>
            </a:extLst>
          </xdr:cNvPr>
          <xdr:cNvCxnSpPr>
            <a:stCxn id="5" idx="3"/>
            <a:endCxn id="6" idx="1"/>
          </xdr:cNvCxnSpPr>
        </xdr:nvCxnSpPr>
        <xdr:spPr>
          <a:xfrm flipV="1">
            <a:off x="5848350" y="5338762"/>
            <a:ext cx="1333499" cy="11049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2728125D-CFBC-54D8-AAA1-1100763171AD}"/>
              </a:ext>
            </a:extLst>
          </xdr:cNvPr>
          <xdr:cNvCxnSpPr>
            <a:stCxn id="8" idx="0"/>
            <a:endCxn id="6" idx="2"/>
          </xdr:cNvCxnSpPr>
        </xdr:nvCxnSpPr>
        <xdr:spPr>
          <a:xfrm flipV="1">
            <a:off x="7234237" y="5686425"/>
            <a:ext cx="904875" cy="77152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43E5EE5-4CD3-F60E-002B-46791A241F36}"/>
              </a:ext>
            </a:extLst>
          </xdr:cNvPr>
          <xdr:cNvSpPr txBox="1"/>
        </xdr:nvSpPr>
        <xdr:spPr>
          <a:xfrm>
            <a:off x="4543425" y="5105400"/>
            <a:ext cx="58102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NZ" sz="1200"/>
              <a:t>0.01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DB85933-6383-4BBD-A667-E998542A65D6}"/>
              </a:ext>
            </a:extLst>
          </xdr:cNvPr>
          <xdr:cNvSpPr txBox="1"/>
        </xdr:nvSpPr>
        <xdr:spPr>
          <a:xfrm>
            <a:off x="2819400" y="4381500"/>
            <a:ext cx="7143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NZ" sz="1200"/>
              <a:t>0.27***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5D7B3827-CB44-4C3B-A788-43E0C7EA7B02}"/>
              </a:ext>
            </a:extLst>
          </xdr:cNvPr>
          <xdr:cNvSpPr txBox="1"/>
        </xdr:nvSpPr>
        <xdr:spPr>
          <a:xfrm>
            <a:off x="2819400" y="5972175"/>
            <a:ext cx="7143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NZ" sz="1200"/>
              <a:t>0.46***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A14CAD28-3BC3-49B4-819F-270423EA7150}"/>
              </a:ext>
            </a:extLst>
          </xdr:cNvPr>
          <xdr:cNvSpPr txBox="1"/>
        </xdr:nvSpPr>
        <xdr:spPr>
          <a:xfrm>
            <a:off x="6276975" y="5972175"/>
            <a:ext cx="7143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NZ" sz="1200"/>
              <a:t>0.08**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419DCCC3-B043-4398-92B3-FD4C94AD7DF1}"/>
              </a:ext>
            </a:extLst>
          </xdr:cNvPr>
          <xdr:cNvSpPr txBox="1"/>
        </xdr:nvSpPr>
        <xdr:spPr>
          <a:xfrm>
            <a:off x="6200775" y="4371975"/>
            <a:ext cx="7143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NZ" sz="1200"/>
              <a:t>0.03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ECDB3FE1-452E-41FB-9284-230B8C9A9AC7}"/>
              </a:ext>
            </a:extLst>
          </xdr:cNvPr>
          <xdr:cNvSpPr txBox="1"/>
        </xdr:nvSpPr>
        <xdr:spPr>
          <a:xfrm>
            <a:off x="7667625" y="5972175"/>
            <a:ext cx="7143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NZ" sz="1200"/>
              <a:t>0.45***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851E-614F-4818-A147-967FCF5FBE4F}">
  <dimension ref="B2:N16"/>
  <sheetViews>
    <sheetView workbookViewId="0">
      <selection activeCell="D13" sqref="D13"/>
    </sheetView>
  </sheetViews>
  <sheetFormatPr defaultRowHeight="15" x14ac:dyDescent="0.25"/>
  <cols>
    <col min="2" max="2" width="27.28515625" customWidth="1"/>
    <col min="3" max="6" width="7.85546875" style="10" customWidth="1"/>
    <col min="9" max="9" width="16.28515625" customWidth="1"/>
  </cols>
  <sheetData>
    <row r="2" spans="2:14" x14ac:dyDescent="0.25">
      <c r="B2" t="s">
        <v>59</v>
      </c>
    </row>
    <row r="3" spans="2:14" ht="15.75" x14ac:dyDescent="0.25">
      <c r="B3" s="29" t="s">
        <v>76</v>
      </c>
      <c r="C3" s="16" t="s">
        <v>47</v>
      </c>
      <c r="D3" s="16" t="s">
        <v>48</v>
      </c>
      <c r="E3" s="16" t="s">
        <v>49</v>
      </c>
      <c r="F3" s="16" t="s">
        <v>58</v>
      </c>
      <c r="I3" s="1" t="s">
        <v>50</v>
      </c>
      <c r="J3" s="1" t="s">
        <v>1</v>
      </c>
      <c r="K3" s="1" t="s">
        <v>51</v>
      </c>
      <c r="L3" s="1" t="s">
        <v>10</v>
      </c>
      <c r="M3" s="1" t="s">
        <v>12</v>
      </c>
      <c r="N3" s="2" t="s">
        <v>52</v>
      </c>
    </row>
    <row r="4" spans="2:14" ht="15.75" x14ac:dyDescent="0.25">
      <c r="B4" s="17" t="s">
        <v>53</v>
      </c>
      <c r="C4" s="13"/>
      <c r="D4" s="13"/>
      <c r="E4" s="13"/>
      <c r="F4" s="9"/>
      <c r="I4" s="1" t="s">
        <v>1</v>
      </c>
    </row>
    <row r="5" spans="2:14" ht="15.75" x14ac:dyDescent="0.25">
      <c r="B5" s="18" t="s">
        <v>54</v>
      </c>
      <c r="C5" s="19" t="s">
        <v>84</v>
      </c>
      <c r="D5" s="14"/>
      <c r="E5" s="14"/>
      <c r="I5" s="1" t="s">
        <v>51</v>
      </c>
      <c r="J5">
        <v>0.4</v>
      </c>
    </row>
    <row r="6" spans="2:14" ht="15.75" x14ac:dyDescent="0.25">
      <c r="B6" s="18" t="s">
        <v>55</v>
      </c>
      <c r="C6" s="19" t="s">
        <v>85</v>
      </c>
      <c r="D6" s="19" t="s">
        <v>92</v>
      </c>
      <c r="E6" s="19"/>
      <c r="I6" s="1" t="s">
        <v>10</v>
      </c>
      <c r="J6">
        <v>0.23</v>
      </c>
      <c r="K6">
        <v>0.15</v>
      </c>
    </row>
    <row r="7" spans="2:14" ht="15.75" x14ac:dyDescent="0.25">
      <c r="B7" s="18" t="s">
        <v>56</v>
      </c>
      <c r="C7" s="19" t="s">
        <v>84</v>
      </c>
      <c r="D7" s="19" t="s">
        <v>86</v>
      </c>
      <c r="E7" s="19" t="s">
        <v>87</v>
      </c>
      <c r="I7" s="1" t="s">
        <v>12</v>
      </c>
      <c r="J7">
        <v>0.4</v>
      </c>
      <c r="K7">
        <v>0.2</v>
      </c>
      <c r="L7">
        <v>0.46</v>
      </c>
    </row>
    <row r="8" spans="2:14" ht="15.75" x14ac:dyDescent="0.25">
      <c r="B8" s="20" t="s">
        <v>57</v>
      </c>
      <c r="C8" s="21" t="s">
        <v>88</v>
      </c>
      <c r="D8" s="21" t="s">
        <v>89</v>
      </c>
      <c r="E8" s="21" t="s">
        <v>90</v>
      </c>
      <c r="F8" s="21" t="s">
        <v>91</v>
      </c>
      <c r="I8" s="2" t="s">
        <v>52</v>
      </c>
      <c r="J8">
        <v>0.26</v>
      </c>
      <c r="K8">
        <v>0.46</v>
      </c>
      <c r="L8">
        <v>0.2</v>
      </c>
      <c r="M8">
        <v>0.28000000000000003</v>
      </c>
    </row>
    <row r="9" spans="2:14" ht="15.75" x14ac:dyDescent="0.25">
      <c r="B9" s="28" t="s">
        <v>83</v>
      </c>
    </row>
    <row r="10" spans="2:14" ht="16.5" thickBot="1" x14ac:dyDescent="0.3">
      <c r="B10" s="18" t="s">
        <v>82</v>
      </c>
      <c r="I10" s="25"/>
      <c r="J10" s="25"/>
      <c r="K10" s="25"/>
      <c r="L10" s="25"/>
      <c r="M10" s="25"/>
    </row>
    <row r="11" spans="2:14" x14ac:dyDescent="0.25">
      <c r="I11" s="26"/>
      <c r="J11" s="26"/>
      <c r="K11" s="26"/>
      <c r="L11" s="26"/>
      <c r="M11" s="26"/>
      <c r="N11" s="26"/>
    </row>
    <row r="12" spans="2:14" ht="15.75" thickBot="1" x14ac:dyDescent="0.3">
      <c r="I12" s="27" t="s">
        <v>77</v>
      </c>
      <c r="J12" s="27"/>
      <c r="K12" s="27"/>
      <c r="L12" s="27"/>
      <c r="M12" s="27"/>
    </row>
    <row r="13" spans="2:14" ht="15.75" thickBot="1" x14ac:dyDescent="0.3">
      <c r="I13" s="27" t="s">
        <v>78</v>
      </c>
      <c r="J13" s="27">
        <v>0.43</v>
      </c>
      <c r="K13" s="27"/>
      <c r="L13" s="27"/>
      <c r="M13" s="27"/>
    </row>
    <row r="14" spans="2:14" ht="15.75" thickBot="1" x14ac:dyDescent="0.3">
      <c r="I14" s="27" t="s">
        <v>79</v>
      </c>
      <c r="J14" s="27">
        <v>0.26</v>
      </c>
      <c r="K14" s="27">
        <v>0.18</v>
      </c>
      <c r="L14" s="27"/>
      <c r="M14" s="27"/>
    </row>
    <row r="15" spans="2:14" ht="15.75" thickBot="1" x14ac:dyDescent="0.3">
      <c r="I15" s="27" t="s">
        <v>80</v>
      </c>
      <c r="J15" s="27">
        <v>0.43</v>
      </c>
      <c r="K15" s="27">
        <v>0.23</v>
      </c>
      <c r="L15" s="27">
        <v>0.49</v>
      </c>
      <c r="M15" s="27"/>
    </row>
    <row r="16" spans="2:14" ht="15.75" thickBot="1" x14ac:dyDescent="0.3">
      <c r="I16" s="27" t="s">
        <v>81</v>
      </c>
      <c r="J16" s="27">
        <v>0.27</v>
      </c>
      <c r="K16" s="27">
        <v>0.47</v>
      </c>
      <c r="L16" s="27">
        <v>0.21</v>
      </c>
      <c r="M16" s="27">
        <v>0.28000000000000003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9"/>
  <sheetViews>
    <sheetView workbookViewId="0">
      <selection activeCell="I12" sqref="I12"/>
    </sheetView>
  </sheetViews>
  <sheetFormatPr defaultRowHeight="15" x14ac:dyDescent="0.25"/>
  <cols>
    <col min="2" max="2" width="23.140625" customWidth="1"/>
  </cols>
  <sheetData>
    <row r="3" spans="2:15" x14ac:dyDescent="0.25">
      <c r="B3" s="22" t="s">
        <v>69</v>
      </c>
      <c r="K3" s="1"/>
      <c r="L3" t="s">
        <v>60</v>
      </c>
      <c r="M3" t="s">
        <v>61</v>
      </c>
      <c r="N3" t="s">
        <v>62</v>
      </c>
      <c r="O3" t="s">
        <v>6</v>
      </c>
    </row>
    <row r="4" spans="2:15" x14ac:dyDescent="0.25">
      <c r="B4" s="4"/>
      <c r="C4" s="5" t="s">
        <v>7</v>
      </c>
      <c r="D4" s="6" t="s">
        <v>8</v>
      </c>
      <c r="E4" s="7" t="s">
        <v>5</v>
      </c>
      <c r="F4" s="7" t="s">
        <v>6</v>
      </c>
      <c r="K4" s="1" t="s">
        <v>63</v>
      </c>
      <c r="L4" t="s">
        <v>64</v>
      </c>
      <c r="M4" t="s">
        <v>65</v>
      </c>
      <c r="N4" t="s">
        <v>66</v>
      </c>
      <c r="O4" t="s">
        <v>65</v>
      </c>
    </row>
    <row r="5" spans="2:15" x14ac:dyDescent="0.25">
      <c r="B5" s="8" t="s">
        <v>3</v>
      </c>
      <c r="C5" s="8">
        <f>L5</f>
        <v>-0.23</v>
      </c>
      <c r="D5" s="8">
        <f t="shared" ref="D5:E6" si="0">M5</f>
        <v>0.05</v>
      </c>
      <c r="E5" s="8">
        <f t="shared" si="0"/>
        <v>-4.53</v>
      </c>
      <c r="F5" s="9" t="str">
        <f>IF(O5&lt;0.001,"&lt; 0.001",ROUND(O5,3))</f>
        <v>&lt; 0.001</v>
      </c>
      <c r="K5" s="1" t="s">
        <v>0</v>
      </c>
      <c r="L5">
        <v>-0.23</v>
      </c>
      <c r="M5">
        <v>0.05</v>
      </c>
      <c r="N5">
        <v>-4.53</v>
      </c>
      <c r="O5">
        <v>0</v>
      </c>
    </row>
    <row r="6" spans="2:15" x14ac:dyDescent="0.25">
      <c r="B6" t="s">
        <v>67</v>
      </c>
      <c r="C6">
        <f>L6</f>
        <v>0.5</v>
      </c>
      <c r="D6">
        <f t="shared" si="0"/>
        <v>0.06</v>
      </c>
      <c r="E6">
        <f t="shared" si="0"/>
        <v>7.89</v>
      </c>
      <c r="F6" s="10" t="str">
        <f>IF(O6&lt;0.001,"&lt; 0.001",ROUND(O6,3))</f>
        <v>&lt; 0.001</v>
      </c>
      <c r="K6" s="2" t="s">
        <v>51</v>
      </c>
      <c r="L6">
        <v>0.5</v>
      </c>
      <c r="M6">
        <v>0.06</v>
      </c>
      <c r="N6">
        <v>7.89</v>
      </c>
      <c r="O6">
        <v>0</v>
      </c>
    </row>
    <row r="7" spans="2:15" x14ac:dyDescent="0.25">
      <c r="B7" t="s">
        <v>4</v>
      </c>
      <c r="C7">
        <f>L7</f>
        <v>0.18</v>
      </c>
      <c r="D7">
        <f>M7</f>
        <v>0.09</v>
      </c>
      <c r="E7">
        <f>N7</f>
        <v>2.04</v>
      </c>
      <c r="F7" s="10">
        <f>IF(O7&lt;0.001,"&lt; 0.001",ROUND(O7,3))</f>
        <v>0.04</v>
      </c>
      <c r="K7" s="1" t="s">
        <v>2</v>
      </c>
      <c r="L7">
        <v>0.18</v>
      </c>
      <c r="M7">
        <v>0.09</v>
      </c>
      <c r="N7">
        <v>2.04</v>
      </c>
      <c r="O7">
        <v>0.04</v>
      </c>
    </row>
    <row r="8" spans="2:15" x14ac:dyDescent="0.25">
      <c r="B8" s="11" t="s">
        <v>68</v>
      </c>
      <c r="C8" s="11">
        <f>L8</f>
        <v>0.06</v>
      </c>
      <c r="D8" s="11">
        <f>M8</f>
        <v>0.03</v>
      </c>
      <c r="E8" s="11">
        <f>N8</f>
        <v>1.81</v>
      </c>
      <c r="F8" s="12">
        <f>IF(O8&lt;0.001,"&lt; 0.001",ROUND(O8,3))</f>
        <v>7.0000000000000007E-2</v>
      </c>
      <c r="K8" s="1" t="s">
        <v>1</v>
      </c>
      <c r="L8">
        <v>0.06</v>
      </c>
      <c r="M8">
        <v>0.03</v>
      </c>
      <c r="N8">
        <v>1.81</v>
      </c>
      <c r="O8">
        <v>7.0000000000000007E-2</v>
      </c>
    </row>
    <row r="9" spans="2:15" x14ac:dyDescent="0.25">
      <c r="B9" s="3" t="s">
        <v>70</v>
      </c>
    </row>
  </sheetData>
  <pageMargins left="0.7" right="0.7" top="0.75" bottom="0.75" header="0.3" footer="0.3"/>
  <headerFooter>
    <oddFooter>&amp;C_x000D_&amp;1#&amp;"Calibri"&amp;7&amp;K000000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D16B-DAC7-4757-8EE0-599CBD042FE0}">
  <dimension ref="B2:Y38"/>
  <sheetViews>
    <sheetView tabSelected="1" workbookViewId="0">
      <selection activeCell="K20" sqref="K20"/>
    </sheetView>
  </sheetViews>
  <sheetFormatPr defaultRowHeight="15" x14ac:dyDescent="0.25"/>
  <cols>
    <col min="2" max="2" width="24.5703125" customWidth="1"/>
    <col min="3" max="3" width="25.42578125" customWidth="1"/>
    <col min="4" max="7" width="8.7109375" customWidth="1"/>
  </cols>
  <sheetData>
    <row r="2" spans="2:22" x14ac:dyDescent="0.25">
      <c r="B2" s="24" t="s">
        <v>74</v>
      </c>
    </row>
    <row r="3" spans="2:22" x14ac:dyDescent="0.25">
      <c r="B3" s="6" t="s">
        <v>37</v>
      </c>
      <c r="C3" s="6" t="s">
        <v>38</v>
      </c>
      <c r="D3" s="7" t="s">
        <v>7</v>
      </c>
      <c r="E3" s="6" t="s">
        <v>8</v>
      </c>
      <c r="F3" s="7" t="s">
        <v>35</v>
      </c>
      <c r="G3" s="7" t="s">
        <v>6</v>
      </c>
      <c r="N3" s="1"/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</row>
    <row r="4" spans="2:22" x14ac:dyDescent="0.25">
      <c r="B4" s="8" t="s">
        <v>71</v>
      </c>
      <c r="C4" s="8" t="s">
        <v>39</v>
      </c>
      <c r="D4" s="13">
        <f>S4</f>
        <v>2.8000000000000001E-2</v>
      </c>
      <c r="E4" s="13">
        <f>T4</f>
        <v>3.2000000000000001E-2</v>
      </c>
      <c r="F4" s="13">
        <f>U4</f>
        <v>0.876</v>
      </c>
      <c r="G4" s="9">
        <f>IF(V4&lt;0.001, "&lt; 0.001", ROUND(V4, 3))</f>
        <v>0.38100000000000001</v>
      </c>
      <c r="M4" s="1"/>
      <c r="N4" s="1">
        <v>1</v>
      </c>
      <c r="O4" t="s">
        <v>52</v>
      </c>
      <c r="P4" t="s">
        <v>9</v>
      </c>
      <c r="Q4" t="s">
        <v>10</v>
      </c>
      <c r="R4" t="s">
        <v>11</v>
      </c>
      <c r="S4">
        <f>S25</f>
        <v>2.8000000000000001E-2</v>
      </c>
      <c r="T4">
        <f t="shared" ref="T4:V4" si="0">T25</f>
        <v>3.2000000000000001E-2</v>
      </c>
      <c r="U4">
        <f t="shared" si="0"/>
        <v>0.876</v>
      </c>
      <c r="V4">
        <f t="shared" si="0"/>
        <v>0.38100000000000001</v>
      </c>
    </row>
    <row r="5" spans="2:22" x14ac:dyDescent="0.25">
      <c r="C5" t="s">
        <v>41</v>
      </c>
      <c r="D5" s="14">
        <f>S5</f>
        <v>0.08</v>
      </c>
      <c r="E5" s="14">
        <f>T5</f>
        <v>3.2000000000000001E-2</v>
      </c>
      <c r="F5" s="14">
        <f>U5</f>
        <v>2.4540000000000002</v>
      </c>
      <c r="G5" s="10">
        <f>IF(V5&lt;0.001, "&lt; 0.001", ROUND(V5, 3))</f>
        <v>1.4E-2</v>
      </c>
      <c r="M5" s="1"/>
      <c r="N5" s="1">
        <v>2</v>
      </c>
      <c r="O5" t="s">
        <v>52</v>
      </c>
      <c r="P5" t="s">
        <v>9</v>
      </c>
      <c r="Q5" t="s">
        <v>12</v>
      </c>
      <c r="R5" t="s">
        <v>13</v>
      </c>
      <c r="S5">
        <f t="shared" ref="S5:V5" si="1">S26</f>
        <v>0.08</v>
      </c>
      <c r="T5">
        <f t="shared" si="1"/>
        <v>3.2000000000000001E-2</v>
      </c>
      <c r="U5">
        <f t="shared" si="1"/>
        <v>2.4540000000000002</v>
      </c>
      <c r="V5">
        <f t="shared" si="1"/>
        <v>1.4E-2</v>
      </c>
    </row>
    <row r="6" spans="2:22" x14ac:dyDescent="0.25">
      <c r="C6" t="s">
        <v>43</v>
      </c>
      <c r="D6" s="14">
        <f>S6</f>
        <v>1.4E-2</v>
      </c>
      <c r="E6" s="14">
        <f>T6</f>
        <v>4.2000000000000003E-2</v>
      </c>
      <c r="F6" s="14">
        <f>U6</f>
        <v>0.32700000000000001</v>
      </c>
      <c r="G6" s="10">
        <f>IF(V6&lt;0.001, "&lt; 0.001", ROUND(V6, 3))</f>
        <v>0.74399999999999999</v>
      </c>
      <c r="M6" s="1"/>
      <c r="N6" s="1">
        <v>3</v>
      </c>
      <c r="O6" t="s">
        <v>52</v>
      </c>
      <c r="P6" t="s">
        <v>9</v>
      </c>
      <c r="Q6" t="s">
        <v>1</v>
      </c>
      <c r="R6" t="s">
        <v>14</v>
      </c>
      <c r="S6">
        <f t="shared" ref="S6:V6" si="2">S27</f>
        <v>1.4E-2</v>
      </c>
      <c r="T6">
        <f t="shared" si="2"/>
        <v>4.2000000000000003E-2</v>
      </c>
      <c r="U6">
        <f t="shared" si="2"/>
        <v>0.32700000000000001</v>
      </c>
      <c r="V6">
        <f t="shared" si="2"/>
        <v>0.74399999999999999</v>
      </c>
    </row>
    <row r="7" spans="2:22" x14ac:dyDescent="0.25">
      <c r="C7" t="s">
        <v>46</v>
      </c>
      <c r="D7" s="14">
        <f>S7</f>
        <v>0.192</v>
      </c>
      <c r="E7" s="14">
        <f>T7</f>
        <v>9.2999999999999999E-2</v>
      </c>
      <c r="F7" s="14">
        <f>U7</f>
        <v>2.0739999999999998</v>
      </c>
      <c r="G7" s="10">
        <f>IF(V7&lt;0.001, "&lt; 0.001", ROUND(V7, 3))</f>
        <v>3.7999999999999999E-2</v>
      </c>
      <c r="M7" s="1"/>
      <c r="N7" s="1">
        <v>4</v>
      </c>
      <c r="O7" t="s">
        <v>52</v>
      </c>
      <c r="P7" t="s">
        <v>9</v>
      </c>
      <c r="Q7" t="s">
        <v>15</v>
      </c>
      <c r="S7">
        <f t="shared" ref="S7:V7" si="3">S28</f>
        <v>0.192</v>
      </c>
      <c r="T7">
        <f t="shared" si="3"/>
        <v>9.2999999999999999E-2</v>
      </c>
      <c r="U7">
        <f t="shared" si="3"/>
        <v>2.0739999999999998</v>
      </c>
      <c r="V7">
        <f t="shared" si="3"/>
        <v>3.7999999999999999E-2</v>
      </c>
    </row>
    <row r="8" spans="2:22" x14ac:dyDescent="0.25">
      <c r="C8" t="s">
        <v>67</v>
      </c>
      <c r="D8" s="14">
        <f>S8</f>
        <v>0.62</v>
      </c>
      <c r="E8" s="14">
        <f>T8</f>
        <v>0.11899999999999999</v>
      </c>
      <c r="F8" s="14">
        <f>U8</f>
        <v>5.1950000000000003</v>
      </c>
      <c r="G8" s="10" t="str">
        <f>IF(V8&lt;0.001, "&lt; 0.001", ROUND(V8, 3))</f>
        <v>&lt; 0.001</v>
      </c>
      <c r="M8" s="1"/>
      <c r="N8" s="1">
        <v>5</v>
      </c>
      <c r="O8" t="s">
        <v>52</v>
      </c>
      <c r="P8" t="s">
        <v>9</v>
      </c>
      <c r="Q8" t="s">
        <v>51</v>
      </c>
      <c r="S8">
        <f t="shared" ref="S8:V8" si="4">S29</f>
        <v>0.62</v>
      </c>
      <c r="T8">
        <f t="shared" si="4"/>
        <v>0.11899999999999999</v>
      </c>
      <c r="U8">
        <f t="shared" si="4"/>
        <v>5.1950000000000003</v>
      </c>
      <c r="V8">
        <f t="shared" si="4"/>
        <v>0</v>
      </c>
    </row>
    <row r="9" spans="2:22" x14ac:dyDescent="0.25">
      <c r="B9" t="s">
        <v>72</v>
      </c>
      <c r="C9" t="s">
        <v>40</v>
      </c>
      <c r="D9" s="14">
        <f>S9</f>
        <v>0.315</v>
      </c>
      <c r="E9" s="14">
        <f>T9</f>
        <v>7.2999999999999995E-2</v>
      </c>
      <c r="F9" s="14">
        <f>U9</f>
        <v>4.306</v>
      </c>
      <c r="G9" s="10" t="str">
        <f>IF(V9&lt;0.001, "&lt; 0.001", ROUND(V9, 3))</f>
        <v>&lt; 0.001</v>
      </c>
      <c r="M9" s="1"/>
      <c r="N9" s="1">
        <v>6</v>
      </c>
      <c r="O9" t="s">
        <v>10</v>
      </c>
      <c r="P9" t="s">
        <v>9</v>
      </c>
      <c r="Q9" t="s">
        <v>1</v>
      </c>
      <c r="R9" t="s">
        <v>16</v>
      </c>
      <c r="S9">
        <f t="shared" ref="S9:V9" si="5">S30</f>
        <v>0.315</v>
      </c>
      <c r="T9">
        <f t="shared" si="5"/>
        <v>7.2999999999999995E-2</v>
      </c>
      <c r="U9">
        <f t="shared" si="5"/>
        <v>4.306</v>
      </c>
      <c r="V9">
        <f t="shared" si="5"/>
        <v>0</v>
      </c>
    </row>
    <row r="10" spans="2:22" x14ac:dyDescent="0.25">
      <c r="C10" t="s">
        <v>46</v>
      </c>
      <c r="D10" s="14">
        <f>S10</f>
        <v>0.36</v>
      </c>
      <c r="E10" s="14">
        <f>T10</f>
        <v>0.19900000000000001</v>
      </c>
      <c r="F10" s="14">
        <f>U10</f>
        <v>1.8120000000000001</v>
      </c>
      <c r="G10" s="10">
        <f>IF(V10&lt;0.001, "&lt; 0.001", ROUND(V10, 3))</f>
        <v>7.0000000000000007E-2</v>
      </c>
      <c r="M10" s="1"/>
      <c r="N10" s="1">
        <v>7</v>
      </c>
      <c r="O10" t="s">
        <v>10</v>
      </c>
      <c r="P10" t="s">
        <v>9</v>
      </c>
      <c r="Q10" t="s">
        <v>15</v>
      </c>
      <c r="S10">
        <f t="shared" ref="S10:V10" si="6">S31</f>
        <v>0.36</v>
      </c>
      <c r="T10">
        <f t="shared" si="6"/>
        <v>0.19900000000000001</v>
      </c>
      <c r="U10">
        <f t="shared" si="6"/>
        <v>1.8120000000000001</v>
      </c>
      <c r="V10">
        <f t="shared" si="6"/>
        <v>7.0000000000000007E-2</v>
      </c>
    </row>
    <row r="11" spans="2:22" x14ac:dyDescent="0.25">
      <c r="B11" t="s">
        <v>73</v>
      </c>
      <c r="C11" t="s">
        <v>42</v>
      </c>
      <c r="D11" s="14">
        <f>S11</f>
        <v>0.52200000000000002</v>
      </c>
      <c r="E11" s="14">
        <f>T11</f>
        <v>7.3999999999999996E-2</v>
      </c>
      <c r="F11" s="14">
        <f>U11</f>
        <v>7.0369999999999999</v>
      </c>
      <c r="G11" s="10" t="str">
        <f>IF(V11&lt;0.001, "&lt; 0.001", ROUND(V11, 3))</f>
        <v>&lt; 0.001</v>
      </c>
      <c r="M11" s="1"/>
      <c r="N11" s="1">
        <v>8</v>
      </c>
      <c r="O11" t="s">
        <v>12</v>
      </c>
      <c r="P11" t="s">
        <v>9</v>
      </c>
      <c r="Q11" t="s">
        <v>1</v>
      </c>
      <c r="R11" t="s">
        <v>17</v>
      </c>
      <c r="S11">
        <f t="shared" ref="S11:V11" si="7">S32</f>
        <v>0.52200000000000002</v>
      </c>
      <c r="T11">
        <f t="shared" si="7"/>
        <v>7.3999999999999996E-2</v>
      </c>
      <c r="U11">
        <f t="shared" si="7"/>
        <v>7.0369999999999999</v>
      </c>
      <c r="V11">
        <f t="shared" si="7"/>
        <v>0</v>
      </c>
    </row>
    <row r="12" spans="2:22" x14ac:dyDescent="0.25">
      <c r="C12" t="s">
        <v>46</v>
      </c>
      <c r="D12" s="14">
        <f>S12</f>
        <v>-6.0000000000000001E-3</v>
      </c>
      <c r="E12" s="14">
        <f>T12</f>
        <v>0.183</v>
      </c>
      <c r="F12" s="14">
        <f>U12</f>
        <v>-0.03</v>
      </c>
      <c r="G12" s="10">
        <f>IF(V12&lt;0.001, "&lt; 0.001", ROUND(V12, 3))</f>
        <v>0.97599999999999998</v>
      </c>
      <c r="M12" s="1"/>
      <c r="N12" s="1">
        <v>9</v>
      </c>
      <c r="O12" t="s">
        <v>12</v>
      </c>
      <c r="P12" t="s">
        <v>9</v>
      </c>
      <c r="Q12" t="s">
        <v>15</v>
      </c>
      <c r="S12">
        <f t="shared" ref="S12:V12" si="8">S33</f>
        <v>-6.0000000000000001E-3</v>
      </c>
      <c r="T12">
        <f t="shared" si="8"/>
        <v>0.183</v>
      </c>
      <c r="U12">
        <f t="shared" si="8"/>
        <v>-0.03</v>
      </c>
      <c r="V12">
        <f t="shared" si="8"/>
        <v>0.97599999999999998</v>
      </c>
    </row>
    <row r="13" spans="2:22" x14ac:dyDescent="0.25">
      <c r="D13" s="14"/>
      <c r="E13" s="14"/>
      <c r="F13" s="14"/>
      <c r="G13" s="23"/>
      <c r="M13" s="1"/>
    </row>
    <row r="14" spans="2:22" x14ac:dyDescent="0.25">
      <c r="B14" t="s">
        <v>44</v>
      </c>
      <c r="C14" t="s">
        <v>20</v>
      </c>
      <c r="D14" s="14">
        <f>S18</f>
        <v>8.9999999999999993E-3</v>
      </c>
      <c r="E14" s="14">
        <f t="shared" ref="E14:F14" si="9">T18</f>
        <v>0.01</v>
      </c>
      <c r="F14" s="14">
        <f t="shared" si="9"/>
        <v>0.84599999999999997</v>
      </c>
      <c r="G14" s="10">
        <f>IF(V18&lt;0.001, "&lt; 0.001", ROUND(V18, 3))</f>
        <v>0.39700000000000002</v>
      </c>
      <c r="M14" s="1"/>
    </row>
    <row r="15" spans="2:22" x14ac:dyDescent="0.25">
      <c r="B15" s="11" t="s">
        <v>45</v>
      </c>
      <c r="C15" s="11" t="s">
        <v>22</v>
      </c>
      <c r="D15" s="15">
        <f>S19</f>
        <v>4.2000000000000003E-2</v>
      </c>
      <c r="E15" s="15">
        <f t="shared" ref="E15:F15" si="10">T19</f>
        <v>1.7999999999999999E-2</v>
      </c>
      <c r="F15" s="15">
        <f t="shared" si="10"/>
        <v>2.367</v>
      </c>
      <c r="G15" s="12">
        <f>IF(V19&lt;0.001, "&lt; 0.001", ROUND(V19, 3))</f>
        <v>1.7999999999999999E-2</v>
      </c>
      <c r="M15" s="1"/>
      <c r="N15" s="1"/>
    </row>
    <row r="16" spans="2:22" x14ac:dyDescent="0.25">
      <c r="B16" s="3" t="s">
        <v>75</v>
      </c>
      <c r="M16" s="1"/>
      <c r="N16" s="1"/>
    </row>
    <row r="17" spans="13:25" x14ac:dyDescent="0.25">
      <c r="M17" s="1"/>
      <c r="N17" s="1"/>
    </row>
    <row r="18" spans="13:25" x14ac:dyDescent="0.25">
      <c r="M18" s="1"/>
      <c r="N18" s="1">
        <v>19</v>
      </c>
      <c r="O18" t="s">
        <v>18</v>
      </c>
      <c r="P18" t="s">
        <v>19</v>
      </c>
      <c r="Q18" t="s">
        <v>20</v>
      </c>
      <c r="R18" t="s">
        <v>18</v>
      </c>
      <c r="S18">
        <f>S34</f>
        <v>8.9999999999999993E-3</v>
      </c>
      <c r="T18">
        <f t="shared" ref="T18:V18" si="11">T34</f>
        <v>0.01</v>
      </c>
      <c r="U18">
        <f t="shared" si="11"/>
        <v>0.84599999999999997</v>
      </c>
      <c r="V18">
        <f t="shared" si="11"/>
        <v>0.39700000000000002</v>
      </c>
    </row>
    <row r="19" spans="13:25" x14ac:dyDescent="0.25">
      <c r="M19" s="1"/>
      <c r="N19" s="1">
        <v>20</v>
      </c>
      <c r="O19" t="s">
        <v>21</v>
      </c>
      <c r="P19" t="s">
        <v>19</v>
      </c>
      <c r="Q19" t="s">
        <v>22</v>
      </c>
      <c r="R19" t="s">
        <v>21</v>
      </c>
      <c r="S19">
        <f t="shared" ref="S19:V19" si="12">S35</f>
        <v>4.2000000000000003E-2</v>
      </c>
      <c r="T19">
        <f t="shared" si="12"/>
        <v>1.7999999999999999E-2</v>
      </c>
      <c r="U19">
        <f t="shared" si="12"/>
        <v>2.367</v>
      </c>
      <c r="V19">
        <f t="shared" si="12"/>
        <v>1.7999999999999999E-2</v>
      </c>
    </row>
    <row r="20" spans="13:25" x14ac:dyDescent="0.25">
      <c r="M20" s="1"/>
      <c r="N20" s="1">
        <v>21</v>
      </c>
      <c r="O20" t="s">
        <v>23</v>
      </c>
      <c r="P20" t="s">
        <v>19</v>
      </c>
      <c r="Q20" t="s">
        <v>24</v>
      </c>
      <c r="R20" t="s">
        <v>23</v>
      </c>
      <c r="S20">
        <f t="shared" ref="S20:V20" si="13">S36</f>
        <v>6.4000000000000001E-2</v>
      </c>
      <c r="T20">
        <f t="shared" si="13"/>
        <v>4.1000000000000002E-2</v>
      </c>
      <c r="U20">
        <f t="shared" si="13"/>
        <v>1.5489999999999999</v>
      </c>
      <c r="V20">
        <f t="shared" si="13"/>
        <v>0.121</v>
      </c>
    </row>
    <row r="21" spans="13:25" x14ac:dyDescent="0.25">
      <c r="M21" s="1"/>
      <c r="N21" s="1">
        <v>22</v>
      </c>
      <c r="O21" t="s">
        <v>25</v>
      </c>
      <c r="P21" t="s">
        <v>19</v>
      </c>
      <c r="Q21" t="s">
        <v>26</v>
      </c>
      <c r="R21" t="s">
        <v>25</v>
      </c>
      <c r="S21">
        <f t="shared" ref="S21:V21" si="14">S37</f>
        <v>0.13600000000000001</v>
      </c>
      <c r="T21">
        <f t="shared" si="14"/>
        <v>0.183</v>
      </c>
      <c r="U21">
        <f t="shared" si="14"/>
        <v>0.74299999999999999</v>
      </c>
      <c r="V21">
        <f t="shared" si="14"/>
        <v>0.45700000000000002</v>
      </c>
    </row>
    <row r="22" spans="13:25" x14ac:dyDescent="0.25">
      <c r="M22" s="2"/>
      <c r="N22" s="2">
        <v>23</v>
      </c>
      <c r="O22" t="s">
        <v>27</v>
      </c>
      <c r="P22" t="s">
        <v>19</v>
      </c>
      <c r="Q22" t="s">
        <v>28</v>
      </c>
      <c r="R22" t="s">
        <v>27</v>
      </c>
      <c r="S22">
        <f t="shared" ref="S22:V22" si="15">S38</f>
        <v>0.64800000000000002</v>
      </c>
      <c r="T22">
        <f t="shared" si="15"/>
        <v>0.46700000000000003</v>
      </c>
      <c r="U22">
        <f t="shared" si="15"/>
        <v>1.389</v>
      </c>
      <c r="V22">
        <f t="shared" si="15"/>
        <v>0.16500000000000001</v>
      </c>
    </row>
    <row r="24" spans="13:25" x14ac:dyDescent="0.25"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36</v>
      </c>
      <c r="W24" t="s">
        <v>93</v>
      </c>
      <c r="X24" t="s">
        <v>94</v>
      </c>
      <c r="Y24" t="s">
        <v>95</v>
      </c>
    </row>
    <row r="25" spans="13:25" x14ac:dyDescent="0.25">
      <c r="N25">
        <v>1</v>
      </c>
      <c r="O25" t="s">
        <v>52</v>
      </c>
      <c r="P25" t="s">
        <v>9</v>
      </c>
      <c r="Q25" t="s">
        <v>10</v>
      </c>
      <c r="R25" t="s">
        <v>11</v>
      </c>
      <c r="S25">
        <v>2.8000000000000001E-2</v>
      </c>
      <c r="T25">
        <v>3.2000000000000001E-2</v>
      </c>
      <c r="U25">
        <v>0.876</v>
      </c>
      <c r="V25">
        <v>0.38100000000000001</v>
      </c>
      <c r="W25">
        <v>-3.4000000000000002E-2</v>
      </c>
      <c r="X25">
        <v>8.8999999999999996E-2</v>
      </c>
      <c r="Y25">
        <v>5.1999999999999998E-2</v>
      </c>
    </row>
    <row r="26" spans="13:25" x14ac:dyDescent="0.25">
      <c r="N26">
        <v>2</v>
      </c>
      <c r="O26" t="s">
        <v>52</v>
      </c>
      <c r="P26" t="s">
        <v>9</v>
      </c>
      <c r="Q26" t="s">
        <v>12</v>
      </c>
      <c r="R26" t="s">
        <v>13</v>
      </c>
      <c r="S26">
        <v>0.08</v>
      </c>
      <c r="T26">
        <v>3.2000000000000001E-2</v>
      </c>
      <c r="U26">
        <v>2.4540000000000002</v>
      </c>
      <c r="V26">
        <v>1.4E-2</v>
      </c>
      <c r="W26">
        <v>1.6E-2</v>
      </c>
      <c r="X26">
        <v>0.14299999999999999</v>
      </c>
      <c r="Y26">
        <v>0.15</v>
      </c>
    </row>
    <row r="27" spans="13:25" x14ac:dyDescent="0.25">
      <c r="N27">
        <v>3</v>
      </c>
      <c r="O27" t="s">
        <v>52</v>
      </c>
      <c r="P27" t="s">
        <v>9</v>
      </c>
      <c r="Q27" t="s">
        <v>1</v>
      </c>
      <c r="R27" t="s">
        <v>14</v>
      </c>
      <c r="S27">
        <v>1.4E-2</v>
      </c>
      <c r="T27">
        <v>4.2000000000000003E-2</v>
      </c>
      <c r="U27">
        <v>0.32700000000000001</v>
      </c>
      <c r="V27">
        <v>0.74399999999999999</v>
      </c>
      <c r="W27">
        <v>-6.9000000000000006E-2</v>
      </c>
      <c r="X27">
        <v>9.7000000000000003E-2</v>
      </c>
      <c r="Y27">
        <v>2.1000000000000001E-2</v>
      </c>
    </row>
    <row r="28" spans="13:25" x14ac:dyDescent="0.25">
      <c r="N28">
        <v>4</v>
      </c>
      <c r="O28" t="s">
        <v>52</v>
      </c>
      <c r="P28" t="s">
        <v>9</v>
      </c>
      <c r="Q28" t="s">
        <v>15</v>
      </c>
      <c r="S28">
        <v>0.192</v>
      </c>
      <c r="T28">
        <v>9.2999999999999999E-2</v>
      </c>
      <c r="U28">
        <v>2.0739999999999998</v>
      </c>
      <c r="V28">
        <v>3.7999999999999999E-2</v>
      </c>
      <c r="W28">
        <v>1.0999999999999999E-2</v>
      </c>
      <c r="X28">
        <v>0.374</v>
      </c>
      <c r="Y28">
        <v>9.9000000000000005E-2</v>
      </c>
    </row>
    <row r="29" spans="13:25" x14ac:dyDescent="0.25">
      <c r="N29">
        <v>5</v>
      </c>
      <c r="O29" t="s">
        <v>52</v>
      </c>
      <c r="P29" t="s">
        <v>9</v>
      </c>
      <c r="Q29" t="s">
        <v>51</v>
      </c>
      <c r="S29">
        <v>0.62</v>
      </c>
      <c r="T29">
        <v>0.11899999999999999</v>
      </c>
      <c r="U29">
        <v>5.1950000000000003</v>
      </c>
      <c r="V29">
        <v>0</v>
      </c>
      <c r="W29">
        <v>0.38600000000000001</v>
      </c>
      <c r="X29">
        <v>0.85399999999999998</v>
      </c>
      <c r="Y29">
        <v>0.41299999999999998</v>
      </c>
    </row>
    <row r="30" spans="13:25" x14ac:dyDescent="0.25">
      <c r="N30">
        <v>6</v>
      </c>
      <c r="O30" t="s">
        <v>10</v>
      </c>
      <c r="P30" t="s">
        <v>9</v>
      </c>
      <c r="Q30" t="s">
        <v>1</v>
      </c>
      <c r="R30" t="s">
        <v>16</v>
      </c>
      <c r="S30">
        <v>0.315</v>
      </c>
      <c r="T30">
        <v>7.2999999999999995E-2</v>
      </c>
      <c r="U30">
        <v>4.306</v>
      </c>
      <c r="V30">
        <v>0</v>
      </c>
      <c r="W30">
        <v>0.17199999999999999</v>
      </c>
      <c r="X30">
        <v>0.45900000000000002</v>
      </c>
      <c r="Y30">
        <v>0.25800000000000001</v>
      </c>
    </row>
    <row r="31" spans="13:25" x14ac:dyDescent="0.25">
      <c r="N31">
        <v>7</v>
      </c>
      <c r="O31" t="s">
        <v>10</v>
      </c>
      <c r="P31" t="s">
        <v>9</v>
      </c>
      <c r="Q31" t="s">
        <v>15</v>
      </c>
      <c r="S31">
        <v>0.36</v>
      </c>
      <c r="T31">
        <v>0.19900000000000001</v>
      </c>
      <c r="U31">
        <v>1.8120000000000001</v>
      </c>
      <c r="V31">
        <v>7.0000000000000007E-2</v>
      </c>
      <c r="W31">
        <v>-2.9000000000000001E-2</v>
      </c>
      <c r="X31">
        <v>0.749</v>
      </c>
      <c r="Y31">
        <v>9.8000000000000004E-2</v>
      </c>
    </row>
    <row r="32" spans="13:25" x14ac:dyDescent="0.25">
      <c r="N32">
        <v>8</v>
      </c>
      <c r="O32" t="s">
        <v>12</v>
      </c>
      <c r="P32" t="s">
        <v>9</v>
      </c>
      <c r="Q32" t="s">
        <v>1</v>
      </c>
      <c r="R32" t="s">
        <v>17</v>
      </c>
      <c r="S32">
        <v>0.52200000000000002</v>
      </c>
      <c r="T32">
        <v>7.3999999999999996E-2</v>
      </c>
      <c r="U32">
        <v>7.0369999999999999</v>
      </c>
      <c r="V32">
        <v>0</v>
      </c>
      <c r="W32">
        <v>0.377</v>
      </c>
      <c r="X32">
        <v>0.66800000000000004</v>
      </c>
      <c r="Y32">
        <v>0.43099999999999999</v>
      </c>
    </row>
    <row r="33" spans="14:25" x14ac:dyDescent="0.25">
      <c r="N33">
        <v>9</v>
      </c>
      <c r="O33" t="s">
        <v>12</v>
      </c>
      <c r="P33" t="s">
        <v>9</v>
      </c>
      <c r="Q33" t="s">
        <v>15</v>
      </c>
      <c r="S33">
        <v>-6.0000000000000001E-3</v>
      </c>
      <c r="T33">
        <v>0.183</v>
      </c>
      <c r="U33">
        <v>-0.03</v>
      </c>
      <c r="V33">
        <v>0.97599999999999998</v>
      </c>
      <c r="W33">
        <v>-0.36399999999999999</v>
      </c>
      <c r="X33">
        <v>0.35299999999999998</v>
      </c>
      <c r="Y33">
        <v>-2E-3</v>
      </c>
    </row>
    <row r="34" spans="14:25" x14ac:dyDescent="0.25">
      <c r="N34">
        <v>10</v>
      </c>
      <c r="O34" t="s">
        <v>18</v>
      </c>
      <c r="P34" t="s">
        <v>19</v>
      </c>
      <c r="Q34" t="s">
        <v>20</v>
      </c>
      <c r="R34" t="s">
        <v>18</v>
      </c>
      <c r="S34">
        <v>8.9999999999999993E-3</v>
      </c>
      <c r="T34">
        <v>0.01</v>
      </c>
      <c r="U34">
        <v>0.84599999999999997</v>
      </c>
      <c r="V34">
        <v>0.39700000000000002</v>
      </c>
      <c r="W34">
        <v>-1.0999999999999999E-2</v>
      </c>
      <c r="X34">
        <v>2.9000000000000001E-2</v>
      </c>
      <c r="Y34">
        <v>1.4E-2</v>
      </c>
    </row>
    <row r="35" spans="14:25" x14ac:dyDescent="0.25">
      <c r="N35">
        <v>11</v>
      </c>
      <c r="O35" t="s">
        <v>21</v>
      </c>
      <c r="P35" t="s">
        <v>19</v>
      </c>
      <c r="Q35" t="s">
        <v>22</v>
      </c>
      <c r="R35" t="s">
        <v>21</v>
      </c>
      <c r="S35">
        <v>4.2000000000000003E-2</v>
      </c>
      <c r="T35">
        <v>1.7999999999999999E-2</v>
      </c>
      <c r="U35">
        <v>2.367</v>
      </c>
      <c r="V35">
        <v>1.7999999999999999E-2</v>
      </c>
      <c r="W35">
        <v>7.0000000000000001E-3</v>
      </c>
      <c r="X35">
        <v>7.5999999999999998E-2</v>
      </c>
      <c r="Y35">
        <v>6.5000000000000002E-2</v>
      </c>
    </row>
    <row r="36" spans="14:25" x14ac:dyDescent="0.25">
      <c r="N36">
        <v>12</v>
      </c>
      <c r="O36" t="s">
        <v>23</v>
      </c>
      <c r="P36" t="s">
        <v>19</v>
      </c>
      <c r="Q36" t="s">
        <v>24</v>
      </c>
      <c r="R36" t="s">
        <v>23</v>
      </c>
      <c r="S36">
        <v>6.4000000000000001E-2</v>
      </c>
      <c r="T36">
        <v>4.1000000000000002E-2</v>
      </c>
      <c r="U36">
        <v>1.5489999999999999</v>
      </c>
      <c r="V36">
        <v>0.121</v>
      </c>
      <c r="W36">
        <v>-1.7000000000000001E-2</v>
      </c>
      <c r="X36">
        <v>0.14499999999999999</v>
      </c>
      <c r="Y36">
        <v>0.1</v>
      </c>
    </row>
    <row r="37" spans="14:25" x14ac:dyDescent="0.25">
      <c r="N37">
        <v>13</v>
      </c>
      <c r="O37" t="s">
        <v>25</v>
      </c>
      <c r="P37" t="s">
        <v>19</v>
      </c>
      <c r="Q37" t="s">
        <v>26</v>
      </c>
      <c r="R37" t="s">
        <v>25</v>
      </c>
      <c r="S37">
        <v>0.13600000000000001</v>
      </c>
      <c r="T37">
        <v>0.183</v>
      </c>
      <c r="U37">
        <v>0.74299999999999999</v>
      </c>
      <c r="V37">
        <v>0.45700000000000002</v>
      </c>
      <c r="W37">
        <v>-0.222</v>
      </c>
      <c r="X37">
        <v>0.49399999999999999</v>
      </c>
      <c r="Y37">
        <v>0.13600000000000001</v>
      </c>
    </row>
    <row r="38" spans="14:25" x14ac:dyDescent="0.25">
      <c r="N38">
        <v>14</v>
      </c>
      <c r="O38" t="s">
        <v>27</v>
      </c>
      <c r="P38" t="s">
        <v>19</v>
      </c>
      <c r="Q38" t="s">
        <v>28</v>
      </c>
      <c r="R38" t="s">
        <v>27</v>
      </c>
      <c r="S38">
        <v>0.64800000000000002</v>
      </c>
      <c r="T38">
        <v>0.46700000000000003</v>
      </c>
      <c r="U38">
        <v>1.389</v>
      </c>
      <c r="V38">
        <v>0.16500000000000001</v>
      </c>
      <c r="W38">
        <v>-0.26700000000000002</v>
      </c>
      <c r="X38">
        <v>1.5640000000000001</v>
      </c>
      <c r="Y38">
        <v>0.64800000000000002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24ABE3A758346AF3348838206AC79" ma:contentTypeVersion="14" ma:contentTypeDescription="Create a new document." ma:contentTypeScope="" ma:versionID="3b3bbe3955f66d23d13a189796ab942b">
  <xsd:schema xmlns:xsd="http://www.w3.org/2001/XMLSchema" xmlns:xs="http://www.w3.org/2001/XMLSchema" xmlns:p="http://schemas.microsoft.com/office/2006/metadata/properties" xmlns:ns2="edfc92ad-21d7-47df-a3ff-01bc0b43552a" xmlns:ns3="c94f73b7-0c39-49d3-8f32-2f3b95265e92" targetNamespace="http://schemas.microsoft.com/office/2006/metadata/properties" ma:root="true" ma:fieldsID="61febd9fa1ca2566ae14d6f17ff1415e" ns2:_="" ns3:_="">
    <xsd:import namespace="edfc92ad-21d7-47df-a3ff-01bc0b43552a"/>
    <xsd:import namespace="c94f73b7-0c39-49d3-8f32-2f3b95265e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tLabel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wner" minOccurs="0"/>
                <xsd:element ref="ns2:ProjectTyp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92ad-21d7-47df-a3ff-01bc0b435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tLabel" ma:index="11" nillable="true" ma:displayName="Set Label" ma:hidden="true" ma:internalName="SetLabel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9d2b188-b8f0-4527-ab9c-6ed07e2b5a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9" nillable="true" ma:displayName="Owner" ma:description="Person who owns the project and leads it in the group.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Type" ma:index="20" nillable="true" ma:displayName="Project Type" ma:description="Paper or a data collection which can involve multiple later papers, ethics, etc." ma:format="Dropdown" ma:internalName="Project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ata"/>
                    <xsd:enumeration value="Paper"/>
                    <xsd:enumeration value="IDI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f73b7-0c39-49d3-8f32-2f3b95265e9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d3d456e-7d40-4e69-8e7c-f114f3c237a7}" ma:internalName="TaxCatchAll" ma:showField="CatchAllData" ma:web="c94f73b7-0c39-49d3-8f32-2f3b95265e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tLabel xmlns="edfc92ad-21d7-47df-a3ff-01bc0b43552a" xsi:nil="true"/>
    <ProjectType xmlns="edfc92ad-21d7-47df-a3ff-01bc0b43552a" xsi:nil="true"/>
    <TaxCatchAll xmlns="c94f73b7-0c39-49d3-8f32-2f3b95265e92" xsi:nil="true"/>
    <Owner xmlns="edfc92ad-21d7-47df-a3ff-01bc0b43552a">
      <UserInfo>
        <DisplayName/>
        <AccountId xsi:nil="true"/>
        <AccountType/>
      </UserInfo>
    </Owner>
    <lcf76f155ced4ddcb4097134ff3c332f xmlns="edfc92ad-21d7-47df-a3ff-01bc0b4355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8E80E-4455-465E-ABD0-5E33CB83A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92ad-21d7-47df-a3ff-01bc0b43552a"/>
    <ds:schemaRef ds:uri="c94f73b7-0c39-49d3-8f32-2f3b95265e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753C95-DF02-4A89-898A-261F3CF66B64}">
  <ds:schemaRefs>
    <ds:schemaRef ds:uri="http://schemas.microsoft.com/office/2006/metadata/properties"/>
    <ds:schemaRef ds:uri="http://schemas.microsoft.com/office/infopath/2007/PartnerControls"/>
    <ds:schemaRef ds:uri="edfc92ad-21d7-47df-a3ff-01bc0b43552a"/>
    <ds:schemaRef ds:uri="c94f73b7-0c39-49d3-8f32-2f3b95265e92"/>
  </ds:schemaRefs>
</ds:datastoreItem>
</file>

<file path=customXml/itemProps3.xml><?xml version="1.0" encoding="utf-8"?>
<ds:datastoreItem xmlns:ds="http://schemas.openxmlformats.org/officeDocument/2006/customXml" ds:itemID="{C452FC83-86A6-42FA-A8D5-AD94829BD9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corr_matrix</vt:lpstr>
      <vt:lpstr>direct_effect</vt:lpstr>
      <vt:lpstr>mediations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Taylor Winter</cp:lastModifiedBy>
  <dcterms:created xsi:type="dcterms:W3CDTF">2015-06-05T18:17:20Z</dcterms:created>
  <dcterms:modified xsi:type="dcterms:W3CDTF">2026-10-11T19:06:16Z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2025-08-02T00:25:58Z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7fbc35a5-332c-4ce1-a084-daaa1fa9fce2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  <property fmtid="{D5CDD505-2E9C-101B-9397-08002B2CF9AE}" pid="10" name="ContentTypeId">
    <vt:lpwstr>0x010100B5A24ABE3A758346AF3348838206AC79</vt:lpwstr>
  </property>
</Properties>
</file>